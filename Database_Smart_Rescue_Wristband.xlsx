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engerjaan Tugas Akhir 2026\Laporan Tugas Akhir\"/>
    </mc:Choice>
  </mc:AlternateContent>
  <xr:revisionPtr revIDLastSave="0" documentId="13_ncr:1_{8DD5CC31-E301-4AE5-858F-4AA57F2A86B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onito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69" i="1" l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21" i="1"/>
  <c r="R221" i="1"/>
  <c r="M222" i="1"/>
  <c r="M221" i="1"/>
  <c r="U300" i="1"/>
  <c r="U301" i="1"/>
  <c r="U302" i="1"/>
  <c r="U303" i="1"/>
  <c r="U304" i="1"/>
  <c r="U305" i="1"/>
  <c r="U306" i="1"/>
  <c r="U307" i="1"/>
  <c r="U308" i="1"/>
  <c r="U309" i="1"/>
  <c r="U310" i="1"/>
  <c r="U290" i="1"/>
  <c r="U291" i="1"/>
  <c r="U292" i="1"/>
  <c r="U293" i="1"/>
  <c r="U294" i="1"/>
  <c r="U295" i="1"/>
  <c r="U296" i="1"/>
  <c r="U297" i="1"/>
  <c r="U298" i="1"/>
  <c r="U299" i="1"/>
  <c r="U280" i="1"/>
  <c r="U281" i="1"/>
  <c r="U282" i="1"/>
  <c r="U283" i="1"/>
  <c r="U284" i="1"/>
  <c r="U285" i="1"/>
  <c r="U286" i="1"/>
  <c r="U287" i="1"/>
  <c r="U288" i="1"/>
  <c r="U289" i="1"/>
  <c r="U272" i="1"/>
  <c r="U273" i="1"/>
  <c r="U274" i="1"/>
  <c r="U275" i="1"/>
  <c r="U276" i="1"/>
  <c r="U277" i="1"/>
  <c r="U278" i="1"/>
  <c r="U279" i="1"/>
  <c r="U271" i="1"/>
  <c r="U265" i="1"/>
  <c r="U266" i="1"/>
  <c r="U267" i="1"/>
  <c r="U268" i="1"/>
  <c r="U269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39" i="1"/>
  <c r="U240" i="1"/>
  <c r="U241" i="1"/>
  <c r="U242" i="1"/>
  <c r="U243" i="1"/>
  <c r="U244" i="1"/>
  <c r="U245" i="1"/>
  <c r="U246" i="1"/>
  <c r="U247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2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27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2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27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2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27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271" i="1"/>
  <c r="N221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76" i="1"/>
  <c r="M2" i="1"/>
  <c r="M119" i="1"/>
  <c r="N129" i="1"/>
  <c r="N130" i="1"/>
  <c r="N131" i="1"/>
  <c r="N132" i="1"/>
  <c r="N133" i="1"/>
  <c r="N118" i="1"/>
  <c r="N119" i="1"/>
  <c r="N120" i="1"/>
  <c r="N121" i="1"/>
  <c r="N122" i="1"/>
  <c r="N123" i="1"/>
  <c r="N124" i="1"/>
  <c r="N125" i="1"/>
  <c r="N126" i="1"/>
  <c r="N127" i="1"/>
  <c r="N128" i="1"/>
  <c r="N117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96" i="1"/>
  <c r="N97" i="1"/>
  <c r="N98" i="1"/>
  <c r="N99" i="1"/>
  <c r="N100" i="1"/>
  <c r="N101" i="1"/>
  <c r="N102" i="1"/>
  <c r="N90" i="1"/>
  <c r="N91" i="1"/>
  <c r="N92" i="1"/>
  <c r="N93" i="1"/>
  <c r="N94" i="1"/>
  <c r="N95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2" i="1"/>
  <c r="N31" i="1"/>
  <c r="N32" i="1"/>
  <c r="N33" i="1"/>
  <c r="N34" i="1"/>
  <c r="N35" i="1"/>
  <c r="N36" i="1"/>
  <c r="N37" i="1"/>
  <c r="N38" i="1"/>
  <c r="N39" i="1"/>
  <c r="N40" i="1"/>
  <c r="N41" i="1"/>
  <c r="N20" i="1"/>
  <c r="N21" i="1"/>
  <c r="N22" i="1"/>
  <c r="N23" i="1"/>
  <c r="N24" i="1"/>
  <c r="N25" i="1"/>
  <c r="N26" i="1"/>
  <c r="N27" i="1"/>
  <c r="N28" i="1"/>
  <c r="N29" i="1"/>
  <c r="N30" i="1"/>
  <c r="N11" i="1"/>
  <c r="N12" i="1"/>
  <c r="N13" i="1"/>
  <c r="N14" i="1"/>
  <c r="N15" i="1"/>
  <c r="N16" i="1"/>
  <c r="N17" i="1"/>
  <c r="N18" i="1"/>
  <c r="N19" i="1"/>
  <c r="N3" i="1"/>
  <c r="N4" i="1"/>
  <c r="N5" i="1"/>
  <c r="N6" i="1"/>
  <c r="N7" i="1"/>
  <c r="N8" i="1"/>
  <c r="N9" i="1"/>
  <c r="N10" i="1"/>
  <c r="M118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1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71" i="1"/>
  <c r="M72" i="1"/>
  <c r="M73" i="1"/>
  <c r="M74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44" i="1"/>
  <c r="M45" i="1"/>
  <c r="M46" i="1"/>
  <c r="M47" i="1"/>
  <c r="M48" i="1"/>
  <c r="M49" i="1"/>
  <c r="M50" i="1"/>
  <c r="M43" i="1"/>
</calcChain>
</file>

<file path=xl/sharedStrings.xml><?xml version="1.0" encoding="utf-8"?>
<sst xmlns="http://schemas.openxmlformats.org/spreadsheetml/2006/main" count="723" uniqueCount="281">
  <si>
    <t>No</t>
  </si>
  <si>
    <t>Tanggal</t>
  </si>
  <si>
    <t>Jam</t>
  </si>
  <si>
    <t>BPM</t>
  </si>
  <si>
    <t>SpO₂</t>
  </si>
  <si>
    <t>Latitude</t>
  </si>
  <si>
    <t>Longitude</t>
  </si>
  <si>
    <t>Speed</t>
  </si>
  <si>
    <t>Satelit</t>
  </si>
  <si>
    <t>RSSI</t>
  </si>
  <si>
    <t>Status</t>
  </si>
  <si>
    <t>1.044121</t>
  </si>
  <si>
    <t>104.106361</t>
  </si>
  <si>
    <t>AMAN</t>
  </si>
  <si>
    <t>1.043948</t>
  </si>
  <si>
    <t>104.105761</t>
  </si>
  <si>
    <t>1.043775</t>
  </si>
  <si>
    <t>104.105162</t>
  </si>
  <si>
    <t>1.043602</t>
  </si>
  <si>
    <t>104.104562</t>
  </si>
  <si>
    <t>1.043430</t>
  </si>
  <si>
    <t>104.103962</t>
  </si>
  <si>
    <t>1.043257</t>
  </si>
  <si>
    <t>104.103363</t>
  </si>
  <si>
    <t>1.043084</t>
  </si>
  <si>
    <t>104.102763</t>
  </si>
  <si>
    <t>1.042911</t>
  </si>
  <si>
    <t>104.102163</t>
  </si>
  <si>
    <t>1.042738</t>
  </si>
  <si>
    <t>104.101564</t>
  </si>
  <si>
    <t>1.042565</t>
  </si>
  <si>
    <t>104.100964</t>
  </si>
  <si>
    <t>1.042393</t>
  </si>
  <si>
    <t>104.100365</t>
  </si>
  <si>
    <t>1.042220</t>
  </si>
  <si>
    <t>104.099765</t>
  </si>
  <si>
    <t>1.042047</t>
  </si>
  <si>
    <t>104.099165</t>
  </si>
  <si>
    <t>1.041874</t>
  </si>
  <si>
    <t>104.098566</t>
  </si>
  <si>
    <t>1.041701</t>
  </si>
  <si>
    <t>104.097966</t>
  </si>
  <si>
    <t>1.041699</t>
  </si>
  <si>
    <t>104.097861</t>
  </si>
  <si>
    <t>1.041697</t>
  </si>
  <si>
    <t>104.097853</t>
  </si>
  <si>
    <t>1.041695</t>
  </si>
  <si>
    <t>104.097845</t>
  </si>
  <si>
    <t>1.041693</t>
  </si>
  <si>
    <t>104.097837</t>
  </si>
  <si>
    <t>1.041691</t>
  </si>
  <si>
    <t>104.097829</t>
  </si>
  <si>
    <t>1.041689</t>
  </si>
  <si>
    <t>104.097821</t>
  </si>
  <si>
    <t>1.041687</t>
  </si>
  <si>
    <t>104.097813</t>
  </si>
  <si>
    <t>1.041685</t>
  </si>
  <si>
    <t>104.097805</t>
  </si>
  <si>
    <t>1.041682</t>
  </si>
  <si>
    <t>104.097797</t>
  </si>
  <si>
    <t>1.041680</t>
  </si>
  <si>
    <t>104.097789</t>
  </si>
  <si>
    <t>1.041678</t>
  </si>
  <si>
    <t>104.097781</t>
  </si>
  <si>
    <t>1.041676</t>
  </si>
  <si>
    <t>104.097773</t>
  </si>
  <si>
    <t>1.041672</t>
  </si>
  <si>
    <t>104.097796</t>
  </si>
  <si>
    <t>1.041669</t>
  </si>
  <si>
    <t>104.097723</t>
  </si>
  <si>
    <t>1.041665</t>
  </si>
  <si>
    <t>104.097650</t>
  </si>
  <si>
    <t>1.041661</t>
  </si>
  <si>
    <t>104.097577</t>
  </si>
  <si>
    <t>1.041658</t>
  </si>
  <si>
    <t>104.097504</t>
  </si>
  <si>
    <t>1.041654</t>
  </si>
  <si>
    <t>104.097431</t>
  </si>
  <si>
    <t>1.041650</t>
  </si>
  <si>
    <t>104.097358</t>
  </si>
  <si>
    <t>1.041646</t>
  </si>
  <si>
    <t>104.097284</t>
  </si>
  <si>
    <t>1.041643</t>
  </si>
  <si>
    <t>104.097211</t>
  </si>
  <si>
    <t>1.041639</t>
  </si>
  <si>
    <t>104.097138</t>
  </si>
  <si>
    <t>1.041635</t>
  </si>
  <si>
    <t>104.097065</t>
  </si>
  <si>
    <t>1.041632</t>
  </si>
  <si>
    <t>104.096992</t>
  </si>
  <si>
    <t>1.041628</t>
  </si>
  <si>
    <t>104.096919</t>
  </si>
  <si>
    <t>1.039981</t>
  </si>
  <si>
    <t>104.082228</t>
  </si>
  <si>
    <t>TIDAK TERPASANG</t>
  </si>
  <si>
    <t>104.082229</t>
  </si>
  <si>
    <t>104.082231</t>
  </si>
  <si>
    <t>1.039982</t>
  </si>
  <si>
    <t>104.082232</t>
  </si>
  <si>
    <t>1.039983</t>
  </si>
  <si>
    <t>104.082217</t>
  </si>
  <si>
    <t>1.039996</t>
  </si>
  <si>
    <t>104.082056</t>
  </si>
  <si>
    <t>1.040002</t>
  </si>
  <si>
    <t>104.081823</t>
  </si>
  <si>
    <t>104.081581</t>
  </si>
  <si>
    <t>104.081394</t>
  </si>
  <si>
    <t>1.040070</t>
  </si>
  <si>
    <t>104.081270</t>
  </si>
  <si>
    <t>1.040064</t>
  </si>
  <si>
    <t>104.081001</t>
  </si>
  <si>
    <t>1.040061</t>
  </si>
  <si>
    <t>104.080722</t>
  </si>
  <si>
    <t>1.040058</t>
  </si>
  <si>
    <t>104.080299</t>
  </si>
  <si>
    <t>1.040051</t>
  </si>
  <si>
    <t>104.079942</t>
  </si>
  <si>
    <t>1.040047</t>
  </si>
  <si>
    <t>104.079577</t>
  </si>
  <si>
    <t>104.079222</t>
  </si>
  <si>
    <t>1.040046</t>
  </si>
  <si>
    <t>104.078858</t>
  </si>
  <si>
    <t>1.040045</t>
  </si>
  <si>
    <t>104.078487</t>
  </si>
  <si>
    <t>104.078118</t>
  </si>
  <si>
    <t>1.040042</t>
  </si>
  <si>
    <t>104.077754</t>
  </si>
  <si>
    <t>1.040039</t>
  </si>
  <si>
    <t>104.077309</t>
  </si>
  <si>
    <t>104.076924</t>
  </si>
  <si>
    <t>104.076540</t>
  </si>
  <si>
    <t>1.040033</t>
  </si>
  <si>
    <t>104.076162</t>
  </si>
  <si>
    <t>1.040030</t>
  </si>
  <si>
    <t>104.075801</t>
  </si>
  <si>
    <t>1.040034</t>
  </si>
  <si>
    <t>104.075411</t>
  </si>
  <si>
    <t>1.040038</t>
  </si>
  <si>
    <t>104.074986</t>
  </si>
  <si>
    <t>1.040013</t>
  </si>
  <si>
    <t>104.074548</t>
  </si>
  <si>
    <t>1.039856</t>
  </si>
  <si>
    <t>104.073987</t>
  </si>
  <si>
    <t>1.039646</t>
  </si>
  <si>
    <t>104.073568</t>
  </si>
  <si>
    <t>1.039153</t>
  </si>
  <si>
    <t>104.072652</t>
  </si>
  <si>
    <t>1.023668</t>
  </si>
  <si>
    <t>104.068894</t>
  </si>
  <si>
    <t>1.023653</t>
  </si>
  <si>
    <t>104.068908</t>
  </si>
  <si>
    <t>BAHAYA</t>
  </si>
  <si>
    <t>1.023652</t>
  </si>
  <si>
    <t>104.068907</t>
  </si>
  <si>
    <t>1.023651</t>
  </si>
  <si>
    <t>104.068906</t>
  </si>
  <si>
    <t>1.023650</t>
  </si>
  <si>
    <t>104.068905</t>
  </si>
  <si>
    <t>1.023649</t>
  </si>
  <si>
    <t>104.068904</t>
  </si>
  <si>
    <t>1.023648</t>
  </si>
  <si>
    <t>104.068903</t>
  </si>
  <si>
    <t>1.023647</t>
  </si>
  <si>
    <t>104.068902</t>
  </si>
  <si>
    <t>1.023646</t>
  </si>
  <si>
    <t>104.068901</t>
  </si>
  <si>
    <t>1.023645</t>
  </si>
  <si>
    <t>104.068900</t>
  </si>
  <si>
    <t>1.023644</t>
  </si>
  <si>
    <t>104.068899</t>
  </si>
  <si>
    <t>1.023643</t>
  </si>
  <si>
    <t>104.068898</t>
  </si>
  <si>
    <t>104.068897</t>
  </si>
  <si>
    <t>104.068896</t>
  </si>
  <si>
    <t>104.068895</t>
  </si>
  <si>
    <t>1.023642</t>
  </si>
  <si>
    <t>104.068893</t>
  </si>
  <si>
    <t>104.068892</t>
  </si>
  <si>
    <t>104.068891</t>
  </si>
  <si>
    <t>1.027770</t>
  </si>
  <si>
    <t>104.055309</t>
  </si>
  <si>
    <t>1.027762</t>
  </si>
  <si>
    <t>104.055305</t>
  </si>
  <si>
    <t>1.027747</t>
  </si>
  <si>
    <t>104.055317</t>
  </si>
  <si>
    <t>1.027671</t>
  </si>
  <si>
    <t>104.055230</t>
  </si>
  <si>
    <t>1.027579</t>
  </si>
  <si>
    <t>104.055126</t>
  </si>
  <si>
    <t>1.027426</t>
  </si>
  <si>
    <t>104.054939</t>
  </si>
  <si>
    <t>1.027347</t>
  </si>
  <si>
    <t>104.054828</t>
  </si>
  <si>
    <t>1.027204</t>
  </si>
  <si>
    <t>104.054669</t>
  </si>
  <si>
    <t>1.027181</t>
  </si>
  <si>
    <t>104.054565</t>
  </si>
  <si>
    <t>1.027305</t>
  </si>
  <si>
    <t>104.054433</t>
  </si>
  <si>
    <t>1.027290</t>
  </si>
  <si>
    <t>104.054230</t>
  </si>
  <si>
    <t>1.027269</t>
  </si>
  <si>
    <t>104.054062</t>
  </si>
  <si>
    <t>1.027247</t>
  </si>
  <si>
    <t>104.053779</t>
  </si>
  <si>
    <t>1.027459</t>
  </si>
  <si>
    <t>104.053678</t>
  </si>
  <si>
    <t>1.027663</t>
  </si>
  <si>
    <t>104.053651</t>
  </si>
  <si>
    <t>1.028262</t>
  </si>
  <si>
    <t>104.053579</t>
  </si>
  <si>
    <t>104.052715</t>
  </si>
  <si>
    <t>Jarak</t>
  </si>
  <si>
    <t>Menit</t>
  </si>
  <si>
    <t>0,22</t>
  </si>
  <si>
    <t>0,67</t>
  </si>
  <si>
    <t>1,26</t>
  </si>
  <si>
    <t>0,43</t>
  </si>
  <si>
    <t>0,61</t>
  </si>
  <si>
    <t>0,94</t>
  </si>
  <si>
    <t>0,65</t>
  </si>
  <si>
    <t>0,19</t>
  </si>
  <si>
    <t>0,11</t>
  </si>
  <si>
    <t>0,17</t>
  </si>
  <si>
    <t>1,21</t>
  </si>
  <si>
    <t>1,82</t>
  </si>
  <si>
    <t>2,43</t>
  </si>
  <si>
    <t>3,03</t>
  </si>
  <si>
    <t>3,64</t>
  </si>
  <si>
    <t>4,25</t>
  </si>
  <si>
    <t>4,86</t>
  </si>
  <si>
    <t>5,46</t>
  </si>
  <si>
    <t>6,07</t>
  </si>
  <si>
    <t>6,68</t>
  </si>
  <si>
    <t>7,28</t>
  </si>
  <si>
    <t>7,89</t>
  </si>
  <si>
    <t>8,5</t>
  </si>
  <si>
    <t>9,1</t>
  </si>
  <si>
    <t>9,71</t>
  </si>
  <si>
    <t>10,32</t>
  </si>
  <si>
    <t>10,92</t>
  </si>
  <si>
    <t>11,53</t>
  </si>
  <si>
    <t>12,14</t>
  </si>
  <si>
    <t>12,74</t>
  </si>
  <si>
    <t>13,35</t>
  </si>
  <si>
    <t>13,96</t>
  </si>
  <si>
    <t>14,57</t>
  </si>
  <si>
    <t>15,17</t>
  </si>
  <si>
    <t>15,78</t>
  </si>
  <si>
    <t>16,39</t>
  </si>
  <si>
    <t>16,99</t>
  </si>
  <si>
    <t>17,6</t>
  </si>
  <si>
    <t>18,21</t>
  </si>
  <si>
    <t>18,81</t>
  </si>
  <si>
    <t>19,42</t>
  </si>
  <si>
    <t>20,03</t>
  </si>
  <si>
    <t>20,63</t>
  </si>
  <si>
    <t>21,24</t>
  </si>
  <si>
    <t>21,85</t>
  </si>
  <si>
    <t>22,46</t>
  </si>
  <si>
    <t>23,06</t>
  </si>
  <si>
    <t>23,67</t>
  </si>
  <si>
    <t>24,28</t>
  </si>
  <si>
    <t>24,88</t>
  </si>
  <si>
    <t>25,49</t>
  </si>
  <si>
    <t>26,1</t>
  </si>
  <si>
    <t>26,7</t>
  </si>
  <si>
    <t>27,31</t>
  </si>
  <si>
    <t>27,92</t>
  </si>
  <si>
    <t>28,52</t>
  </si>
  <si>
    <t>29,13</t>
  </si>
  <si>
    <t>BPM Pulse Oximeter</t>
  </si>
  <si>
    <t>Selisih BPM</t>
  </si>
  <si>
    <t>Selisih SpO₂</t>
  </si>
  <si>
    <t>Error BPM (%)</t>
  </si>
  <si>
    <t>Error SpO₂ (%)</t>
  </si>
  <si>
    <t>SpO₂ Pulse Oximeter</t>
  </si>
  <si>
    <t>Latitude Google Maps</t>
  </si>
  <si>
    <t>Longitude Google Maps</t>
  </si>
  <si>
    <t>Error Latitude (%)</t>
  </si>
  <si>
    <t>Error Longitude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</si>
</sst>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vertical="center"/>
    </xf>
    <xf numFmtId="0" fontId="1" fillId="2" borderId="0" xfId="0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21" fontId="1" fillId="0" borderId="0" xfId="0" applyNumberFormat="1" applyFont="1" applyBorder="1" applyAlignment="1">
      <alignment horizontal="right"/>
    </xf>
    <xf numFmtId="0" fontId="1" fillId="0" borderId="0" xfId="0" quotePrefix="1" applyFont="1" applyBorder="1" applyAlignment="1"/>
    <xf numFmtId="49" fontId="1" fillId="0" borderId="0" xfId="0" applyNumberFormat="1" applyFont="1" applyBorder="1" applyAlignment="1">
      <alignment horizontal="right"/>
    </xf>
    <xf numFmtId="0" fontId="1" fillId="0" borderId="0" xfId="0" applyFont="1" applyBorder="1" applyAlignment="1"/>
    <xf numFmtId="3" fontId="1" fillId="0" borderId="0" xfId="0" quotePrefix="1" applyNumberFormat="1" applyFont="1" applyBorder="1" applyAlignment="1"/>
    <xf numFmtId="21" fontId="1" fillId="0" borderId="0" xfId="0" applyNumberFormat="1" applyFont="1" applyBorder="1" applyAlignment="1"/>
    <xf numFmtId="0" fontId="1" fillId="0" borderId="0" xfId="0" quotePrefix="1" applyFont="1" applyBorder="1" applyAlignment="1">
      <alignment horizontal="left"/>
    </xf>
    <xf numFmtId="0" fontId="2" fillId="0" borderId="0" xfId="0" applyFont="1" applyBorder="1" applyAlignment="1"/>
    <xf numFmtId="164" fontId="2" fillId="0" borderId="0" xfId="0" applyNumberFormat="1" applyFont="1" applyBorder="1" applyAlignment="1"/>
    <xf numFmtId="21" fontId="2" fillId="0" borderId="0" xfId="0" applyNumberFormat="1" applyFont="1" applyBorder="1" applyAlignment="1"/>
    <xf numFmtId="49" fontId="2" fillId="0" borderId="0" xfId="0" applyNumberFormat="1" applyFont="1" applyBorder="1" applyAlignment="1">
      <alignment horizontal="right"/>
    </xf>
    <xf numFmtId="0" fontId="2" fillId="0" borderId="0" xfId="0" quotePrefix="1" applyFont="1" applyBorder="1" applyAlignment="1"/>
    <xf numFmtId="49" fontId="1" fillId="0" borderId="0" xfId="0" applyNumberFormat="1" applyFont="1" applyBorder="1" applyAlignment="1"/>
    <xf numFmtId="14" fontId="3" fillId="0" borderId="0" xfId="0" applyNumberFormat="1" applyFont="1" applyBorder="1" applyAlignment="1">
      <alignment horizontal="right" wrapText="1"/>
    </xf>
    <xf numFmtId="21" fontId="3" fillId="0" borderId="0" xfId="0" applyNumberFormat="1" applyFont="1" applyBorder="1" applyAlignment="1">
      <alignment horizontal="right" wrapText="1"/>
    </xf>
    <xf numFmtId="0" fontId="4" fillId="2" borderId="0" xfId="0" applyFont="1" applyFill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Fill="1" applyBorder="1" applyAlignment="1">
      <alignment horizontal="right" wrapText="1"/>
    </xf>
    <xf numFmtId="49" fontId="2" fillId="0" borderId="0" xfId="0" applyNumberFormat="1" applyFont="1" applyBorder="1" applyAlignment="1"/>
    <xf numFmtId="0" fontId="2" fillId="0" borderId="0" xfId="0" applyFont="1" applyBorder="1"/>
    <xf numFmtId="49" fontId="2" fillId="0" borderId="0" xfId="0" applyNumberFormat="1" applyFont="1" applyBorder="1"/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RSSI &amp; Jarak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Monitoring!$M$2:$M$41</c:f>
              <c:numCache>
                <c:formatCode>General</c:formatCode>
                <c:ptCount val="40"/>
                <c:pt idx="0">
                  <c:v>0.09</c:v>
                </c:pt>
                <c:pt idx="1">
                  <c:v>69.42</c:v>
                </c:pt>
                <c:pt idx="2">
                  <c:v>138.74</c:v>
                </c:pt>
                <c:pt idx="3">
                  <c:v>208.17</c:v>
                </c:pt>
                <c:pt idx="4">
                  <c:v>277.56</c:v>
                </c:pt>
                <c:pt idx="5">
                  <c:v>346.88</c:v>
                </c:pt>
                <c:pt idx="6">
                  <c:v>416.3</c:v>
                </c:pt>
                <c:pt idx="7">
                  <c:v>485.73</c:v>
                </c:pt>
                <c:pt idx="8">
                  <c:v>555.04</c:v>
                </c:pt>
                <c:pt idx="9">
                  <c:v>624.47</c:v>
                </c:pt>
                <c:pt idx="10">
                  <c:v>693.75</c:v>
                </c:pt>
                <c:pt idx="11">
                  <c:v>763.18</c:v>
                </c:pt>
                <c:pt idx="12">
                  <c:v>832.6</c:v>
                </c:pt>
                <c:pt idx="13">
                  <c:v>901.92</c:v>
                </c:pt>
                <c:pt idx="14">
                  <c:v>971.34</c:v>
                </c:pt>
                <c:pt idx="15">
                  <c:v>982.63</c:v>
                </c:pt>
                <c:pt idx="16">
                  <c:v>983.54</c:v>
                </c:pt>
                <c:pt idx="17">
                  <c:v>984.46</c:v>
                </c:pt>
                <c:pt idx="18">
                  <c:v>985.38</c:v>
                </c:pt>
                <c:pt idx="19">
                  <c:v>986.29</c:v>
                </c:pt>
                <c:pt idx="20">
                  <c:v>987.21</c:v>
                </c:pt>
                <c:pt idx="21">
                  <c:v>988.12</c:v>
                </c:pt>
                <c:pt idx="22">
                  <c:v>989.04</c:v>
                </c:pt>
                <c:pt idx="23">
                  <c:v>989.99</c:v>
                </c:pt>
                <c:pt idx="24">
                  <c:v>990.9</c:v>
                </c:pt>
                <c:pt idx="25">
                  <c:v>991.82</c:v>
                </c:pt>
                <c:pt idx="26">
                  <c:v>992.74</c:v>
                </c:pt>
                <c:pt idx="27">
                  <c:v>990.4</c:v>
                </c:pt>
                <c:pt idx="28">
                  <c:v>998.3</c:v>
                </c:pt>
                <c:pt idx="29">
                  <c:v>1006.23</c:v>
                </c:pt>
                <c:pt idx="30">
                  <c:v>1014.16</c:v>
                </c:pt>
                <c:pt idx="31">
                  <c:v>1022.07</c:v>
                </c:pt>
                <c:pt idx="32">
                  <c:v>1030.01</c:v>
                </c:pt>
                <c:pt idx="33">
                  <c:v>1037.95</c:v>
                </c:pt>
                <c:pt idx="34">
                  <c:v>1046</c:v>
                </c:pt>
                <c:pt idx="35">
                  <c:v>1053.92</c:v>
                </c:pt>
                <c:pt idx="36">
                  <c:v>1061.8699999999999</c:v>
                </c:pt>
                <c:pt idx="37">
                  <c:v>1069.83</c:v>
                </c:pt>
                <c:pt idx="38">
                  <c:v>1077.75</c:v>
                </c:pt>
                <c:pt idx="39">
                  <c:v>1085.71</c:v>
                </c:pt>
              </c:numCache>
            </c:numRef>
          </c:xVal>
          <c:yVal>
            <c:numRef>
              <c:f>Monitoring!$J$2:$J$41</c:f>
              <c:numCache>
                <c:formatCode>General</c:formatCode>
                <c:ptCount val="40"/>
                <c:pt idx="0">
                  <c:v>-36</c:v>
                </c:pt>
                <c:pt idx="1">
                  <c:v>-44</c:v>
                </c:pt>
                <c:pt idx="2">
                  <c:v>-44</c:v>
                </c:pt>
                <c:pt idx="3">
                  <c:v>-45</c:v>
                </c:pt>
                <c:pt idx="4">
                  <c:v>-45</c:v>
                </c:pt>
                <c:pt idx="5">
                  <c:v>-61</c:v>
                </c:pt>
                <c:pt idx="6">
                  <c:v>-84</c:v>
                </c:pt>
                <c:pt idx="7">
                  <c:v>-94</c:v>
                </c:pt>
                <c:pt idx="8">
                  <c:v>-96</c:v>
                </c:pt>
                <c:pt idx="9">
                  <c:v>-89</c:v>
                </c:pt>
                <c:pt idx="10">
                  <c:v>-102</c:v>
                </c:pt>
                <c:pt idx="11">
                  <c:v>-101</c:v>
                </c:pt>
                <c:pt idx="12">
                  <c:v>-102</c:v>
                </c:pt>
                <c:pt idx="13">
                  <c:v>-106</c:v>
                </c:pt>
                <c:pt idx="14">
                  <c:v>-108</c:v>
                </c:pt>
                <c:pt idx="15">
                  <c:v>-108</c:v>
                </c:pt>
                <c:pt idx="16">
                  <c:v>-105</c:v>
                </c:pt>
                <c:pt idx="17">
                  <c:v>-114</c:v>
                </c:pt>
                <c:pt idx="18">
                  <c:v>-108</c:v>
                </c:pt>
                <c:pt idx="19">
                  <c:v>-119</c:v>
                </c:pt>
                <c:pt idx="20">
                  <c:v>-108</c:v>
                </c:pt>
                <c:pt idx="21">
                  <c:v>-112</c:v>
                </c:pt>
                <c:pt idx="22">
                  <c:v>-115</c:v>
                </c:pt>
                <c:pt idx="23">
                  <c:v>-115</c:v>
                </c:pt>
                <c:pt idx="24">
                  <c:v>-113</c:v>
                </c:pt>
                <c:pt idx="25">
                  <c:v>-111</c:v>
                </c:pt>
                <c:pt idx="26">
                  <c:v>-118</c:v>
                </c:pt>
                <c:pt idx="27">
                  <c:v>-118</c:v>
                </c:pt>
                <c:pt idx="28">
                  <c:v>-119</c:v>
                </c:pt>
                <c:pt idx="29">
                  <c:v>-119</c:v>
                </c:pt>
                <c:pt idx="30">
                  <c:v>-115</c:v>
                </c:pt>
                <c:pt idx="31">
                  <c:v>-119</c:v>
                </c:pt>
                <c:pt idx="32">
                  <c:v>-118</c:v>
                </c:pt>
                <c:pt idx="33">
                  <c:v>-115</c:v>
                </c:pt>
                <c:pt idx="34">
                  <c:v>-117</c:v>
                </c:pt>
                <c:pt idx="35">
                  <c:v>-119</c:v>
                </c:pt>
                <c:pt idx="36">
                  <c:v>-116</c:v>
                </c:pt>
                <c:pt idx="37">
                  <c:v>-118</c:v>
                </c:pt>
                <c:pt idx="38">
                  <c:v>-117</c:v>
                </c:pt>
                <c:pt idx="39">
                  <c:v>-119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9F-4A3C-8473-09249F157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93024"/>
        <c:axId val="21597344"/>
      </c:scatterChart>
      <c:valAx>
        <c:axId val="21593024"/>
        <c:scaling>
          <c:orientation val="minMax"/>
          <c:max val="1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7344"/>
        <c:crosses val="autoZero"/>
        <c:crossBetween val="midCat"/>
        <c:majorUnit val="100"/>
      </c:valAx>
      <c:valAx>
        <c:axId val="21597344"/>
        <c:scaling>
          <c:orientation val="minMax"/>
          <c:max val="-30"/>
          <c:min val="-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RSSI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RSSI &amp; Jarak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Monitoring!$M$43:$M$74</c:f>
              <c:numCache>
                <c:formatCode>General</c:formatCode>
                <c:ptCount val="32"/>
                <c:pt idx="0">
                  <c:v>0</c:v>
                </c:pt>
                <c:pt idx="1">
                  <c:v>0.09</c:v>
                </c:pt>
                <c:pt idx="2">
                  <c:v>0.33</c:v>
                </c:pt>
                <c:pt idx="3">
                  <c:v>0.36</c:v>
                </c:pt>
                <c:pt idx="4">
                  <c:v>0.47</c:v>
                </c:pt>
                <c:pt idx="5">
                  <c:v>1.25</c:v>
                </c:pt>
                <c:pt idx="6">
                  <c:v>19.2</c:v>
                </c:pt>
                <c:pt idx="7">
                  <c:v>45.09</c:v>
                </c:pt>
                <c:pt idx="8">
                  <c:v>71.97</c:v>
                </c:pt>
                <c:pt idx="9">
                  <c:v>92.75</c:v>
                </c:pt>
                <c:pt idx="10">
                  <c:v>106.97</c:v>
                </c:pt>
                <c:pt idx="11">
                  <c:v>136.72999999999999</c:v>
                </c:pt>
                <c:pt idx="12">
                  <c:v>167.67</c:v>
                </c:pt>
                <c:pt idx="13">
                  <c:v>214.63</c:v>
                </c:pt>
                <c:pt idx="14">
                  <c:v>254.27</c:v>
                </c:pt>
                <c:pt idx="15">
                  <c:v>294.82</c:v>
                </c:pt>
                <c:pt idx="16">
                  <c:v>334.28</c:v>
                </c:pt>
                <c:pt idx="17">
                  <c:v>374.73</c:v>
                </c:pt>
                <c:pt idx="18">
                  <c:v>415.97</c:v>
                </c:pt>
                <c:pt idx="19">
                  <c:v>456.99</c:v>
                </c:pt>
                <c:pt idx="20">
                  <c:v>497.45</c:v>
                </c:pt>
                <c:pt idx="21">
                  <c:v>546.91999999999996</c:v>
                </c:pt>
                <c:pt idx="22">
                  <c:v>589.72</c:v>
                </c:pt>
                <c:pt idx="23">
                  <c:v>632.41</c:v>
                </c:pt>
                <c:pt idx="24">
                  <c:v>674.42</c:v>
                </c:pt>
                <c:pt idx="25">
                  <c:v>714.55</c:v>
                </c:pt>
                <c:pt idx="26">
                  <c:v>757.91</c:v>
                </c:pt>
                <c:pt idx="27">
                  <c:v>805.17</c:v>
                </c:pt>
                <c:pt idx="28">
                  <c:v>853.84</c:v>
                </c:pt>
                <c:pt idx="29">
                  <c:v>916.31</c:v>
                </c:pt>
                <c:pt idx="30">
                  <c:v>963.51</c:v>
                </c:pt>
                <c:pt idx="31">
                  <c:v>1068.5999999999999</c:v>
                </c:pt>
              </c:numCache>
            </c:numRef>
          </c:xVal>
          <c:yVal>
            <c:numRef>
              <c:f>Monitoring!$J$43:$J$74</c:f>
              <c:numCache>
                <c:formatCode>General</c:formatCode>
                <c:ptCount val="32"/>
                <c:pt idx="0">
                  <c:v>-36</c:v>
                </c:pt>
                <c:pt idx="1">
                  <c:v>-44</c:v>
                </c:pt>
                <c:pt idx="2">
                  <c:v>-44</c:v>
                </c:pt>
                <c:pt idx="3">
                  <c:v>-45</c:v>
                </c:pt>
                <c:pt idx="4">
                  <c:v>-45</c:v>
                </c:pt>
                <c:pt idx="5">
                  <c:v>-61</c:v>
                </c:pt>
                <c:pt idx="6">
                  <c:v>-84</c:v>
                </c:pt>
                <c:pt idx="7">
                  <c:v>-94</c:v>
                </c:pt>
                <c:pt idx="8">
                  <c:v>-96</c:v>
                </c:pt>
                <c:pt idx="9">
                  <c:v>-89</c:v>
                </c:pt>
                <c:pt idx="10">
                  <c:v>-102</c:v>
                </c:pt>
                <c:pt idx="11">
                  <c:v>-101</c:v>
                </c:pt>
                <c:pt idx="12">
                  <c:v>-102</c:v>
                </c:pt>
                <c:pt idx="13">
                  <c:v>-106</c:v>
                </c:pt>
                <c:pt idx="14">
                  <c:v>-108</c:v>
                </c:pt>
                <c:pt idx="15">
                  <c:v>-108</c:v>
                </c:pt>
                <c:pt idx="16">
                  <c:v>-105</c:v>
                </c:pt>
                <c:pt idx="17">
                  <c:v>-114</c:v>
                </c:pt>
                <c:pt idx="18">
                  <c:v>-108</c:v>
                </c:pt>
                <c:pt idx="19">
                  <c:v>-119</c:v>
                </c:pt>
                <c:pt idx="20">
                  <c:v>-108</c:v>
                </c:pt>
                <c:pt idx="21">
                  <c:v>-112</c:v>
                </c:pt>
                <c:pt idx="22">
                  <c:v>-115</c:v>
                </c:pt>
                <c:pt idx="23">
                  <c:v>-115</c:v>
                </c:pt>
                <c:pt idx="24">
                  <c:v>-113</c:v>
                </c:pt>
                <c:pt idx="25">
                  <c:v>-111</c:v>
                </c:pt>
                <c:pt idx="26">
                  <c:v>-118</c:v>
                </c:pt>
                <c:pt idx="27">
                  <c:v>-118</c:v>
                </c:pt>
                <c:pt idx="28">
                  <c:v>-120</c:v>
                </c:pt>
                <c:pt idx="29">
                  <c:v>-120</c:v>
                </c:pt>
                <c:pt idx="30">
                  <c:v>-115</c:v>
                </c:pt>
                <c:pt idx="31">
                  <c:v>-119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A-48ED-8B94-3DB13C7A6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12272"/>
        <c:axId val="81207472"/>
      </c:scatterChart>
      <c:valAx>
        <c:axId val="81212272"/>
        <c:scaling>
          <c:orientation val="minMax"/>
          <c:max val="108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07472"/>
        <c:crosses val="autoZero"/>
        <c:crossBetween val="midCat"/>
        <c:majorUnit val="100"/>
        <c:minorUnit val="20"/>
      </c:valAx>
      <c:valAx>
        <c:axId val="81207472"/>
        <c:scaling>
          <c:orientation val="minMax"/>
          <c:max val="-35"/>
          <c:min val="-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RSSI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RSSI &amp; Jarak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Monitoring!$M$117:$M$133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2.71</c:v>
                </c:pt>
                <c:pt idx="3">
                  <c:v>14.08</c:v>
                </c:pt>
                <c:pt idx="4">
                  <c:v>29.41</c:v>
                </c:pt>
                <c:pt idx="5">
                  <c:v>56.17</c:v>
                </c:pt>
                <c:pt idx="6">
                  <c:v>71.22</c:v>
                </c:pt>
                <c:pt idx="7">
                  <c:v>94.99</c:v>
                </c:pt>
                <c:pt idx="8">
                  <c:v>105.51</c:v>
                </c:pt>
                <c:pt idx="9">
                  <c:v>110.27</c:v>
                </c:pt>
                <c:pt idx="10">
                  <c:v>131.30000000000001</c:v>
                </c:pt>
                <c:pt idx="11">
                  <c:v>149.41</c:v>
                </c:pt>
                <c:pt idx="12">
                  <c:v>179.77</c:v>
                </c:pt>
                <c:pt idx="13">
                  <c:v>184.6</c:v>
                </c:pt>
                <c:pt idx="14">
                  <c:v>184.72</c:v>
                </c:pt>
                <c:pt idx="15">
                  <c:v>199.97</c:v>
                </c:pt>
                <c:pt idx="16">
                  <c:v>293.54000000000002</c:v>
                </c:pt>
              </c:numCache>
            </c:numRef>
          </c:xVal>
          <c:yVal>
            <c:numRef>
              <c:f>Monitoring!$J$117:$J$133</c:f>
              <c:numCache>
                <c:formatCode>General</c:formatCode>
                <c:ptCount val="17"/>
                <c:pt idx="0">
                  <c:v>-45</c:v>
                </c:pt>
                <c:pt idx="1">
                  <c:v>-39</c:v>
                </c:pt>
                <c:pt idx="2">
                  <c:v>-52</c:v>
                </c:pt>
                <c:pt idx="3">
                  <c:v>-62</c:v>
                </c:pt>
                <c:pt idx="4">
                  <c:v>-76</c:v>
                </c:pt>
                <c:pt idx="5">
                  <c:v>-84</c:v>
                </c:pt>
                <c:pt idx="6">
                  <c:v>-89</c:v>
                </c:pt>
                <c:pt idx="7">
                  <c:v>-91</c:v>
                </c:pt>
                <c:pt idx="8">
                  <c:v>-106</c:v>
                </c:pt>
                <c:pt idx="9">
                  <c:v>-116</c:v>
                </c:pt>
                <c:pt idx="10">
                  <c:v>-120</c:v>
                </c:pt>
                <c:pt idx="11">
                  <c:v>-120</c:v>
                </c:pt>
                <c:pt idx="12">
                  <c:v>-118</c:v>
                </c:pt>
                <c:pt idx="13">
                  <c:v>-114</c:v>
                </c:pt>
                <c:pt idx="14">
                  <c:v>-116</c:v>
                </c:pt>
                <c:pt idx="15">
                  <c:v>-120</c:v>
                </c:pt>
                <c:pt idx="16">
                  <c:v>-121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1C-40C1-ACE4-5BC1087FA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459168"/>
        <c:axId val="2003459648"/>
      </c:scatterChart>
      <c:valAx>
        <c:axId val="2003459168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59648"/>
        <c:crosses val="autoZero"/>
        <c:crossBetween val="midCat"/>
      </c:valAx>
      <c:valAx>
        <c:axId val="2003459648"/>
        <c:scaling>
          <c:orientation val="minMax"/>
          <c:max val="-42"/>
          <c:min val="-1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RSSI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5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SpO2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Monitoring!$N$76:$N$115</c:f>
              <c:numCache>
                <c:formatCode>General</c:formatCode>
                <c:ptCount val="40"/>
                <c:pt idx="0">
                  <c:v>0</c:v>
                </c:pt>
                <c:pt idx="1">
                  <c:v>0.13</c:v>
                </c:pt>
                <c:pt idx="2">
                  <c:v>0.28000000000000003</c:v>
                </c:pt>
                <c:pt idx="3">
                  <c:v>0.43</c:v>
                </c:pt>
                <c:pt idx="4">
                  <c:v>0.56999999999999995</c:v>
                </c:pt>
                <c:pt idx="5">
                  <c:v>0.72</c:v>
                </c:pt>
                <c:pt idx="6">
                  <c:v>0.87</c:v>
                </c:pt>
                <c:pt idx="7">
                  <c:v>1.02</c:v>
                </c:pt>
                <c:pt idx="8">
                  <c:v>1.1499999999999999</c:v>
                </c:pt>
                <c:pt idx="9">
                  <c:v>1.3</c:v>
                </c:pt>
                <c:pt idx="10">
                  <c:v>1.45</c:v>
                </c:pt>
                <c:pt idx="11">
                  <c:v>1.58</c:v>
                </c:pt>
                <c:pt idx="12">
                  <c:v>1.73</c:v>
                </c:pt>
                <c:pt idx="13">
                  <c:v>1.88</c:v>
                </c:pt>
                <c:pt idx="14">
                  <c:v>2.0299999999999998</c:v>
                </c:pt>
                <c:pt idx="15">
                  <c:v>2.17</c:v>
                </c:pt>
                <c:pt idx="16">
                  <c:v>2.3199999999999998</c:v>
                </c:pt>
                <c:pt idx="17">
                  <c:v>2.4700000000000002</c:v>
                </c:pt>
                <c:pt idx="18">
                  <c:v>2.6</c:v>
                </c:pt>
                <c:pt idx="19">
                  <c:v>2.75</c:v>
                </c:pt>
                <c:pt idx="20">
                  <c:v>2.9</c:v>
                </c:pt>
                <c:pt idx="21">
                  <c:v>3.05</c:v>
                </c:pt>
                <c:pt idx="22">
                  <c:v>3.18</c:v>
                </c:pt>
                <c:pt idx="23">
                  <c:v>3.33</c:v>
                </c:pt>
                <c:pt idx="24">
                  <c:v>3.48</c:v>
                </c:pt>
                <c:pt idx="25">
                  <c:v>3.62</c:v>
                </c:pt>
                <c:pt idx="26">
                  <c:v>3.77</c:v>
                </c:pt>
                <c:pt idx="27">
                  <c:v>3.92</c:v>
                </c:pt>
                <c:pt idx="28">
                  <c:v>4.07</c:v>
                </c:pt>
                <c:pt idx="29">
                  <c:v>4.2</c:v>
                </c:pt>
                <c:pt idx="30">
                  <c:v>4.3499999999999996</c:v>
                </c:pt>
                <c:pt idx="31">
                  <c:v>4.5</c:v>
                </c:pt>
                <c:pt idx="32">
                  <c:v>4.63</c:v>
                </c:pt>
                <c:pt idx="33">
                  <c:v>4.78</c:v>
                </c:pt>
                <c:pt idx="34">
                  <c:v>4.93</c:v>
                </c:pt>
                <c:pt idx="35">
                  <c:v>5.08</c:v>
                </c:pt>
                <c:pt idx="36">
                  <c:v>5.22</c:v>
                </c:pt>
                <c:pt idx="37">
                  <c:v>5.37</c:v>
                </c:pt>
                <c:pt idx="38">
                  <c:v>5.52</c:v>
                </c:pt>
                <c:pt idx="39">
                  <c:v>5.67</c:v>
                </c:pt>
              </c:numCache>
            </c:numRef>
          </c:xVal>
          <c:yVal>
            <c:numRef>
              <c:f>Monitoring!$E$76:$E$115</c:f>
              <c:numCache>
                <c:formatCode>General</c:formatCode>
                <c:ptCount val="40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98</c:v>
                </c:pt>
                <c:pt idx="16">
                  <c:v>99</c:v>
                </c:pt>
                <c:pt idx="17">
                  <c:v>98</c:v>
                </c:pt>
                <c:pt idx="18">
                  <c:v>99</c:v>
                </c:pt>
                <c:pt idx="19">
                  <c:v>98</c:v>
                </c:pt>
                <c:pt idx="20">
                  <c:v>98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98</c:v>
                </c:pt>
                <c:pt idx="25">
                  <c:v>99</c:v>
                </c:pt>
                <c:pt idx="26">
                  <c:v>98</c:v>
                </c:pt>
                <c:pt idx="27">
                  <c:v>99</c:v>
                </c:pt>
                <c:pt idx="28">
                  <c:v>98</c:v>
                </c:pt>
                <c:pt idx="29">
                  <c:v>98</c:v>
                </c:pt>
                <c:pt idx="30">
                  <c:v>98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98</c:v>
                </c:pt>
                <c:pt idx="37">
                  <c:v>98</c:v>
                </c:pt>
                <c:pt idx="38">
                  <c:v>98</c:v>
                </c:pt>
                <c:pt idx="39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7A-4F36-89D9-571B960575A8}"/>
            </c:ext>
          </c:extLst>
        </c:ser>
        <c:ser>
          <c:idx val="1"/>
          <c:order val="1"/>
          <c:tx>
            <c:v>BPM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Monitoring!$N$76:$N$115</c:f>
              <c:numCache>
                <c:formatCode>General</c:formatCode>
                <c:ptCount val="40"/>
                <c:pt idx="0">
                  <c:v>0</c:v>
                </c:pt>
                <c:pt idx="1">
                  <c:v>0.13</c:v>
                </c:pt>
                <c:pt idx="2">
                  <c:v>0.28000000000000003</c:v>
                </c:pt>
                <c:pt idx="3">
                  <c:v>0.43</c:v>
                </c:pt>
                <c:pt idx="4">
                  <c:v>0.56999999999999995</c:v>
                </c:pt>
                <c:pt idx="5">
                  <c:v>0.72</c:v>
                </c:pt>
                <c:pt idx="6">
                  <c:v>0.87</c:v>
                </c:pt>
                <c:pt idx="7">
                  <c:v>1.02</c:v>
                </c:pt>
                <c:pt idx="8">
                  <c:v>1.1499999999999999</c:v>
                </c:pt>
                <c:pt idx="9">
                  <c:v>1.3</c:v>
                </c:pt>
                <c:pt idx="10">
                  <c:v>1.45</c:v>
                </c:pt>
                <c:pt idx="11">
                  <c:v>1.58</c:v>
                </c:pt>
                <c:pt idx="12">
                  <c:v>1.73</c:v>
                </c:pt>
                <c:pt idx="13">
                  <c:v>1.88</c:v>
                </c:pt>
                <c:pt idx="14">
                  <c:v>2.0299999999999998</c:v>
                </c:pt>
                <c:pt idx="15">
                  <c:v>2.17</c:v>
                </c:pt>
                <c:pt idx="16">
                  <c:v>2.3199999999999998</c:v>
                </c:pt>
                <c:pt idx="17">
                  <c:v>2.4700000000000002</c:v>
                </c:pt>
                <c:pt idx="18">
                  <c:v>2.6</c:v>
                </c:pt>
                <c:pt idx="19">
                  <c:v>2.75</c:v>
                </c:pt>
                <c:pt idx="20">
                  <c:v>2.9</c:v>
                </c:pt>
                <c:pt idx="21">
                  <c:v>3.05</c:v>
                </c:pt>
                <c:pt idx="22">
                  <c:v>3.18</c:v>
                </c:pt>
                <c:pt idx="23">
                  <c:v>3.33</c:v>
                </c:pt>
                <c:pt idx="24">
                  <c:v>3.48</c:v>
                </c:pt>
                <c:pt idx="25">
                  <c:v>3.62</c:v>
                </c:pt>
                <c:pt idx="26">
                  <c:v>3.77</c:v>
                </c:pt>
                <c:pt idx="27">
                  <c:v>3.92</c:v>
                </c:pt>
                <c:pt idx="28">
                  <c:v>4.07</c:v>
                </c:pt>
                <c:pt idx="29">
                  <c:v>4.2</c:v>
                </c:pt>
                <c:pt idx="30">
                  <c:v>4.3499999999999996</c:v>
                </c:pt>
                <c:pt idx="31">
                  <c:v>4.5</c:v>
                </c:pt>
                <c:pt idx="32">
                  <c:v>4.63</c:v>
                </c:pt>
                <c:pt idx="33">
                  <c:v>4.78</c:v>
                </c:pt>
                <c:pt idx="34">
                  <c:v>4.93</c:v>
                </c:pt>
                <c:pt idx="35">
                  <c:v>5.08</c:v>
                </c:pt>
                <c:pt idx="36">
                  <c:v>5.22</c:v>
                </c:pt>
                <c:pt idx="37">
                  <c:v>5.37</c:v>
                </c:pt>
                <c:pt idx="38">
                  <c:v>5.52</c:v>
                </c:pt>
                <c:pt idx="39">
                  <c:v>5.67</c:v>
                </c:pt>
              </c:numCache>
            </c:numRef>
          </c:xVal>
          <c:yVal>
            <c:numRef>
              <c:f>Monitoring!$D$76:$D$115</c:f>
              <c:numCache>
                <c:formatCode>General</c:formatCode>
                <c:ptCount val="40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82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82</c:v>
                </c:pt>
                <c:pt idx="10">
                  <c:v>82</c:v>
                </c:pt>
                <c:pt idx="11">
                  <c:v>82</c:v>
                </c:pt>
                <c:pt idx="12">
                  <c:v>15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12</c:v>
                </c:pt>
                <c:pt idx="20">
                  <c:v>10</c:v>
                </c:pt>
                <c:pt idx="21">
                  <c:v>15</c:v>
                </c:pt>
                <c:pt idx="22">
                  <c:v>19</c:v>
                </c:pt>
                <c:pt idx="23">
                  <c:v>3</c:v>
                </c:pt>
                <c:pt idx="24">
                  <c:v>9</c:v>
                </c:pt>
                <c:pt idx="25">
                  <c:v>14</c:v>
                </c:pt>
                <c:pt idx="26">
                  <c:v>0</c:v>
                </c:pt>
                <c:pt idx="27">
                  <c:v>15</c:v>
                </c:pt>
                <c:pt idx="28">
                  <c:v>8</c:v>
                </c:pt>
                <c:pt idx="29">
                  <c:v>4</c:v>
                </c:pt>
                <c:pt idx="30">
                  <c:v>6</c:v>
                </c:pt>
                <c:pt idx="31">
                  <c:v>18</c:v>
                </c:pt>
                <c:pt idx="32">
                  <c:v>4</c:v>
                </c:pt>
                <c:pt idx="33">
                  <c:v>8</c:v>
                </c:pt>
                <c:pt idx="34">
                  <c:v>8</c:v>
                </c:pt>
                <c:pt idx="35">
                  <c:v>15</c:v>
                </c:pt>
                <c:pt idx="36">
                  <c:v>13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7A-4F36-89D9-571B96057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18224"/>
        <c:axId val="28017744"/>
      </c:scatterChart>
      <c:valAx>
        <c:axId val="2801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(Menit)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7744"/>
        <c:crosses val="autoZero"/>
        <c:crossBetween val="midCat"/>
      </c:valAx>
      <c:valAx>
        <c:axId val="280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BPM dan SpO₂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822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RSSI &amp; Jarak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Monitoring!$M$221:$M$269</c:f>
              <c:numCache>
                <c:formatCode>General</c:formatCode>
                <c:ptCount val="49"/>
                <c:pt idx="0">
                  <c:v>0</c:v>
                </c:pt>
                <c:pt idx="1">
                  <c:v>19.670000000000002</c:v>
                </c:pt>
                <c:pt idx="2">
                  <c:v>39.450000000000003</c:v>
                </c:pt>
                <c:pt idx="3">
                  <c:v>59.09</c:v>
                </c:pt>
                <c:pt idx="4">
                  <c:v>66.94</c:v>
                </c:pt>
                <c:pt idx="5">
                  <c:v>75.23</c:v>
                </c:pt>
                <c:pt idx="6">
                  <c:v>84.47</c:v>
                </c:pt>
                <c:pt idx="7">
                  <c:v>91.86</c:v>
                </c:pt>
                <c:pt idx="8">
                  <c:v>99.93</c:v>
                </c:pt>
                <c:pt idx="9">
                  <c:v>108.79</c:v>
                </c:pt>
                <c:pt idx="10">
                  <c:v>119.17</c:v>
                </c:pt>
                <c:pt idx="11">
                  <c:v>131.28</c:v>
                </c:pt>
                <c:pt idx="12">
                  <c:v>144.57</c:v>
                </c:pt>
                <c:pt idx="13">
                  <c:v>169.26</c:v>
                </c:pt>
                <c:pt idx="14">
                  <c:v>194.98</c:v>
                </c:pt>
                <c:pt idx="15">
                  <c:v>221.38</c:v>
                </c:pt>
                <c:pt idx="16">
                  <c:v>234.3</c:v>
                </c:pt>
                <c:pt idx="17">
                  <c:v>246.82</c:v>
                </c:pt>
                <c:pt idx="18">
                  <c:v>260.08999999999997</c:v>
                </c:pt>
                <c:pt idx="19">
                  <c:v>266.87</c:v>
                </c:pt>
                <c:pt idx="20">
                  <c:v>274.85000000000002</c:v>
                </c:pt>
                <c:pt idx="21">
                  <c:v>283.95999999999998</c:v>
                </c:pt>
                <c:pt idx="22">
                  <c:v>306.47000000000003</c:v>
                </c:pt>
                <c:pt idx="23">
                  <c:v>330.58</c:v>
                </c:pt>
                <c:pt idx="24">
                  <c:v>356.17</c:v>
                </c:pt>
                <c:pt idx="25">
                  <c:v>392.23</c:v>
                </c:pt>
                <c:pt idx="26">
                  <c:v>428.31</c:v>
                </c:pt>
                <c:pt idx="27">
                  <c:v>464.41</c:v>
                </c:pt>
                <c:pt idx="28">
                  <c:v>494.2</c:v>
                </c:pt>
                <c:pt idx="29">
                  <c:v>524.27</c:v>
                </c:pt>
                <c:pt idx="30">
                  <c:v>554.58000000000004</c:v>
                </c:pt>
                <c:pt idx="31">
                  <c:v>602.52</c:v>
                </c:pt>
                <c:pt idx="32">
                  <c:v>650.74</c:v>
                </c:pt>
                <c:pt idx="33">
                  <c:v>699.16</c:v>
                </c:pt>
                <c:pt idx="34">
                  <c:v>742.31</c:v>
                </c:pt>
                <c:pt idx="35">
                  <c:v>785.55</c:v>
                </c:pt>
                <c:pt idx="36">
                  <c:v>828.86</c:v>
                </c:pt>
                <c:pt idx="37">
                  <c:v>853.36</c:v>
                </c:pt>
                <c:pt idx="38">
                  <c:v>877.9</c:v>
                </c:pt>
                <c:pt idx="39">
                  <c:v>902.44</c:v>
                </c:pt>
                <c:pt idx="40">
                  <c:v>916.5</c:v>
                </c:pt>
                <c:pt idx="41">
                  <c:v>930.57</c:v>
                </c:pt>
                <c:pt idx="42">
                  <c:v>944.67</c:v>
                </c:pt>
                <c:pt idx="43">
                  <c:v>954.06</c:v>
                </c:pt>
                <c:pt idx="44">
                  <c:v>963.46</c:v>
                </c:pt>
                <c:pt idx="45">
                  <c:v>972.88</c:v>
                </c:pt>
                <c:pt idx="46">
                  <c:v>992.52</c:v>
                </c:pt>
                <c:pt idx="47">
                  <c:v>1012.2</c:v>
                </c:pt>
                <c:pt idx="48">
                  <c:v>1029.67</c:v>
                </c:pt>
              </c:numCache>
            </c:numRef>
          </c:xVal>
          <c:yVal>
            <c:numRef>
              <c:f>Monitoring!$J$221:$J$269</c:f>
              <c:numCache>
                <c:formatCode>General</c:formatCode>
                <c:ptCount val="49"/>
                <c:pt idx="0">
                  <c:v>-36</c:v>
                </c:pt>
                <c:pt idx="1">
                  <c:v>-36</c:v>
                </c:pt>
                <c:pt idx="2">
                  <c:v>-39</c:v>
                </c:pt>
                <c:pt idx="3">
                  <c:v>-39</c:v>
                </c:pt>
                <c:pt idx="4">
                  <c:v>-41</c:v>
                </c:pt>
                <c:pt idx="5">
                  <c:v>-46</c:v>
                </c:pt>
                <c:pt idx="6">
                  <c:v>-46</c:v>
                </c:pt>
                <c:pt idx="7">
                  <c:v>-48</c:v>
                </c:pt>
                <c:pt idx="8">
                  <c:v>-50</c:v>
                </c:pt>
                <c:pt idx="9">
                  <c:v>-49</c:v>
                </c:pt>
                <c:pt idx="10">
                  <c:v>-52</c:v>
                </c:pt>
                <c:pt idx="11">
                  <c:v>-53</c:v>
                </c:pt>
                <c:pt idx="12">
                  <c:v>-57</c:v>
                </c:pt>
                <c:pt idx="13">
                  <c:v>-59</c:v>
                </c:pt>
                <c:pt idx="14">
                  <c:v>-60</c:v>
                </c:pt>
                <c:pt idx="15">
                  <c:v>-60</c:v>
                </c:pt>
                <c:pt idx="16">
                  <c:v>-63</c:v>
                </c:pt>
                <c:pt idx="17">
                  <c:v>-63</c:v>
                </c:pt>
                <c:pt idx="18">
                  <c:v>-65</c:v>
                </c:pt>
                <c:pt idx="19">
                  <c:v>-69</c:v>
                </c:pt>
                <c:pt idx="20">
                  <c:v>-71</c:v>
                </c:pt>
                <c:pt idx="21">
                  <c:v>-73</c:v>
                </c:pt>
                <c:pt idx="22">
                  <c:v>-76</c:v>
                </c:pt>
                <c:pt idx="23">
                  <c:v>-78</c:v>
                </c:pt>
                <c:pt idx="24">
                  <c:v>-79</c:v>
                </c:pt>
                <c:pt idx="25">
                  <c:v>-82</c:v>
                </c:pt>
                <c:pt idx="26">
                  <c:v>-82</c:v>
                </c:pt>
                <c:pt idx="27">
                  <c:v>-85</c:v>
                </c:pt>
                <c:pt idx="28">
                  <c:v>-88</c:v>
                </c:pt>
                <c:pt idx="29">
                  <c:v>-88</c:v>
                </c:pt>
                <c:pt idx="30">
                  <c:v>-91</c:v>
                </c:pt>
                <c:pt idx="31">
                  <c:v>-93</c:v>
                </c:pt>
                <c:pt idx="32">
                  <c:v>-93</c:v>
                </c:pt>
                <c:pt idx="33">
                  <c:v>-95</c:v>
                </c:pt>
                <c:pt idx="34">
                  <c:v>-98</c:v>
                </c:pt>
                <c:pt idx="35">
                  <c:v>-99</c:v>
                </c:pt>
                <c:pt idx="36">
                  <c:v>-102</c:v>
                </c:pt>
                <c:pt idx="37">
                  <c:v>-105</c:v>
                </c:pt>
                <c:pt idx="38">
                  <c:v>-104</c:v>
                </c:pt>
                <c:pt idx="39">
                  <c:v>-107</c:v>
                </c:pt>
                <c:pt idx="40">
                  <c:v>-109</c:v>
                </c:pt>
                <c:pt idx="41">
                  <c:v>-110</c:v>
                </c:pt>
                <c:pt idx="42">
                  <c:v>-113</c:v>
                </c:pt>
                <c:pt idx="43">
                  <c:v>-114</c:v>
                </c:pt>
                <c:pt idx="44">
                  <c:v>-116</c:v>
                </c:pt>
                <c:pt idx="45">
                  <c:v>-117</c:v>
                </c:pt>
                <c:pt idx="46">
                  <c:v>-118</c:v>
                </c:pt>
                <c:pt idx="47">
                  <c:v>-119</c:v>
                </c:pt>
                <c:pt idx="48">
                  <c:v>-120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32-4563-8644-03593EBBC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22960"/>
        <c:axId val="165315280"/>
      </c:scatterChart>
      <c:valAx>
        <c:axId val="16532296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15280"/>
        <c:crosses val="autoZero"/>
        <c:crossBetween val="midCat"/>
        <c:majorUnit val="100"/>
      </c:valAx>
      <c:valAx>
        <c:axId val="165315280"/>
        <c:scaling>
          <c:orientation val="minMax"/>
          <c:max val="-35"/>
          <c:min val="-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RSSI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Spo2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Monitoring!$N$271:$N$310</c:f>
              <c:numCache>
                <c:formatCode>General</c:formatCode>
                <c:ptCount val="40"/>
                <c:pt idx="0">
                  <c:v>0</c:v>
                </c:pt>
                <c:pt idx="1">
                  <c:v>0.13</c:v>
                </c:pt>
                <c:pt idx="2">
                  <c:v>0.27</c:v>
                </c:pt>
                <c:pt idx="3">
                  <c:v>0.42</c:v>
                </c:pt>
                <c:pt idx="4">
                  <c:v>0.55000000000000004</c:v>
                </c:pt>
                <c:pt idx="5">
                  <c:v>0.7</c:v>
                </c:pt>
                <c:pt idx="6">
                  <c:v>0.83</c:v>
                </c:pt>
                <c:pt idx="7">
                  <c:v>0.98</c:v>
                </c:pt>
                <c:pt idx="8">
                  <c:v>1.1200000000000001</c:v>
                </c:pt>
                <c:pt idx="9">
                  <c:v>1.27</c:v>
                </c:pt>
                <c:pt idx="10">
                  <c:v>1.4</c:v>
                </c:pt>
                <c:pt idx="11">
                  <c:v>1.55</c:v>
                </c:pt>
                <c:pt idx="12">
                  <c:v>1.68</c:v>
                </c:pt>
                <c:pt idx="13">
                  <c:v>1.83</c:v>
                </c:pt>
                <c:pt idx="14">
                  <c:v>1.97</c:v>
                </c:pt>
                <c:pt idx="15">
                  <c:v>2.12</c:v>
                </c:pt>
                <c:pt idx="16">
                  <c:v>2.25</c:v>
                </c:pt>
                <c:pt idx="17">
                  <c:v>2.4</c:v>
                </c:pt>
                <c:pt idx="18">
                  <c:v>2.5299999999999998</c:v>
                </c:pt>
                <c:pt idx="19">
                  <c:v>2.68</c:v>
                </c:pt>
                <c:pt idx="20">
                  <c:v>2.82</c:v>
                </c:pt>
                <c:pt idx="21">
                  <c:v>2.97</c:v>
                </c:pt>
                <c:pt idx="22">
                  <c:v>3.1</c:v>
                </c:pt>
                <c:pt idx="23">
                  <c:v>3.25</c:v>
                </c:pt>
                <c:pt idx="24">
                  <c:v>3.38</c:v>
                </c:pt>
                <c:pt idx="25">
                  <c:v>3.53</c:v>
                </c:pt>
                <c:pt idx="26">
                  <c:v>3.67</c:v>
                </c:pt>
                <c:pt idx="27">
                  <c:v>3.82</c:v>
                </c:pt>
                <c:pt idx="28">
                  <c:v>3.95</c:v>
                </c:pt>
                <c:pt idx="29">
                  <c:v>4.0999999999999996</c:v>
                </c:pt>
                <c:pt idx="30">
                  <c:v>4.2300000000000004</c:v>
                </c:pt>
                <c:pt idx="31">
                  <c:v>4.38</c:v>
                </c:pt>
                <c:pt idx="32">
                  <c:v>4.5199999999999996</c:v>
                </c:pt>
                <c:pt idx="33">
                  <c:v>4.67</c:v>
                </c:pt>
                <c:pt idx="34">
                  <c:v>4.8</c:v>
                </c:pt>
                <c:pt idx="35">
                  <c:v>4.95</c:v>
                </c:pt>
                <c:pt idx="36">
                  <c:v>5.08</c:v>
                </c:pt>
                <c:pt idx="37">
                  <c:v>5.23</c:v>
                </c:pt>
                <c:pt idx="38">
                  <c:v>5.37</c:v>
                </c:pt>
                <c:pt idx="39">
                  <c:v>5.52</c:v>
                </c:pt>
              </c:numCache>
            </c:numRef>
          </c:xVal>
          <c:yVal>
            <c:numRef>
              <c:f>Monitoring!$E$271:$E$310</c:f>
              <c:numCache>
                <c:formatCode>General</c:formatCode>
                <c:ptCount val="40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98</c:v>
                </c:pt>
                <c:pt idx="16">
                  <c:v>99</c:v>
                </c:pt>
                <c:pt idx="17">
                  <c:v>98</c:v>
                </c:pt>
                <c:pt idx="18">
                  <c:v>99</c:v>
                </c:pt>
                <c:pt idx="19">
                  <c:v>98</c:v>
                </c:pt>
                <c:pt idx="20">
                  <c:v>98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98</c:v>
                </c:pt>
                <c:pt idx="25">
                  <c:v>99</c:v>
                </c:pt>
                <c:pt idx="26">
                  <c:v>98</c:v>
                </c:pt>
                <c:pt idx="27">
                  <c:v>99</c:v>
                </c:pt>
                <c:pt idx="28">
                  <c:v>98</c:v>
                </c:pt>
                <c:pt idx="29">
                  <c:v>98</c:v>
                </c:pt>
                <c:pt idx="30">
                  <c:v>98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98</c:v>
                </c:pt>
                <c:pt idx="37">
                  <c:v>98</c:v>
                </c:pt>
                <c:pt idx="38">
                  <c:v>98</c:v>
                </c:pt>
                <c:pt idx="39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73-438B-A7F7-B47E45608499}"/>
            </c:ext>
          </c:extLst>
        </c:ser>
        <c:ser>
          <c:idx val="1"/>
          <c:order val="1"/>
          <c:tx>
            <c:v>BPM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Monitoring!$N$271:$N$310</c:f>
              <c:numCache>
                <c:formatCode>General</c:formatCode>
                <c:ptCount val="40"/>
                <c:pt idx="0">
                  <c:v>0</c:v>
                </c:pt>
                <c:pt idx="1">
                  <c:v>0.13</c:v>
                </c:pt>
                <c:pt idx="2">
                  <c:v>0.27</c:v>
                </c:pt>
                <c:pt idx="3">
                  <c:v>0.42</c:v>
                </c:pt>
                <c:pt idx="4">
                  <c:v>0.55000000000000004</c:v>
                </c:pt>
                <c:pt idx="5">
                  <c:v>0.7</c:v>
                </c:pt>
                <c:pt idx="6">
                  <c:v>0.83</c:v>
                </c:pt>
                <c:pt idx="7">
                  <c:v>0.98</c:v>
                </c:pt>
                <c:pt idx="8">
                  <c:v>1.1200000000000001</c:v>
                </c:pt>
                <c:pt idx="9">
                  <c:v>1.27</c:v>
                </c:pt>
                <c:pt idx="10">
                  <c:v>1.4</c:v>
                </c:pt>
                <c:pt idx="11">
                  <c:v>1.55</c:v>
                </c:pt>
                <c:pt idx="12">
                  <c:v>1.68</c:v>
                </c:pt>
                <c:pt idx="13">
                  <c:v>1.83</c:v>
                </c:pt>
                <c:pt idx="14">
                  <c:v>1.97</c:v>
                </c:pt>
                <c:pt idx="15">
                  <c:v>2.12</c:v>
                </c:pt>
                <c:pt idx="16">
                  <c:v>2.25</c:v>
                </c:pt>
                <c:pt idx="17">
                  <c:v>2.4</c:v>
                </c:pt>
                <c:pt idx="18">
                  <c:v>2.5299999999999998</c:v>
                </c:pt>
                <c:pt idx="19">
                  <c:v>2.68</c:v>
                </c:pt>
                <c:pt idx="20">
                  <c:v>2.82</c:v>
                </c:pt>
                <c:pt idx="21">
                  <c:v>2.97</c:v>
                </c:pt>
                <c:pt idx="22">
                  <c:v>3.1</c:v>
                </c:pt>
                <c:pt idx="23">
                  <c:v>3.25</c:v>
                </c:pt>
                <c:pt idx="24">
                  <c:v>3.38</c:v>
                </c:pt>
                <c:pt idx="25">
                  <c:v>3.53</c:v>
                </c:pt>
                <c:pt idx="26">
                  <c:v>3.67</c:v>
                </c:pt>
                <c:pt idx="27">
                  <c:v>3.82</c:v>
                </c:pt>
                <c:pt idx="28">
                  <c:v>3.95</c:v>
                </c:pt>
                <c:pt idx="29">
                  <c:v>4.0999999999999996</c:v>
                </c:pt>
                <c:pt idx="30">
                  <c:v>4.2300000000000004</c:v>
                </c:pt>
                <c:pt idx="31">
                  <c:v>4.38</c:v>
                </c:pt>
                <c:pt idx="32">
                  <c:v>4.5199999999999996</c:v>
                </c:pt>
                <c:pt idx="33">
                  <c:v>4.67</c:v>
                </c:pt>
                <c:pt idx="34">
                  <c:v>4.8</c:v>
                </c:pt>
                <c:pt idx="35">
                  <c:v>4.95</c:v>
                </c:pt>
                <c:pt idx="36">
                  <c:v>5.08</c:v>
                </c:pt>
                <c:pt idx="37">
                  <c:v>5.23</c:v>
                </c:pt>
                <c:pt idx="38">
                  <c:v>5.37</c:v>
                </c:pt>
                <c:pt idx="39">
                  <c:v>5.52</c:v>
                </c:pt>
              </c:numCache>
            </c:numRef>
          </c:xVal>
          <c:yVal>
            <c:numRef>
              <c:f>Monitoring!$D$271:$D$310</c:f>
              <c:numCache>
                <c:formatCode>General</c:formatCode>
                <c:ptCount val="40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  <c:pt idx="6">
                  <c:v>87</c:v>
                </c:pt>
                <c:pt idx="7">
                  <c:v>87</c:v>
                </c:pt>
                <c:pt idx="8">
                  <c:v>87</c:v>
                </c:pt>
                <c:pt idx="9">
                  <c:v>87</c:v>
                </c:pt>
                <c:pt idx="10">
                  <c:v>87</c:v>
                </c:pt>
                <c:pt idx="11">
                  <c:v>87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12</c:v>
                </c:pt>
                <c:pt idx="20">
                  <c:v>10</c:v>
                </c:pt>
                <c:pt idx="21">
                  <c:v>15</c:v>
                </c:pt>
                <c:pt idx="22">
                  <c:v>19</c:v>
                </c:pt>
                <c:pt idx="23">
                  <c:v>3</c:v>
                </c:pt>
                <c:pt idx="24">
                  <c:v>9</c:v>
                </c:pt>
                <c:pt idx="25">
                  <c:v>14</c:v>
                </c:pt>
                <c:pt idx="26">
                  <c:v>0</c:v>
                </c:pt>
                <c:pt idx="27">
                  <c:v>15</c:v>
                </c:pt>
                <c:pt idx="28">
                  <c:v>8</c:v>
                </c:pt>
                <c:pt idx="29">
                  <c:v>4</c:v>
                </c:pt>
                <c:pt idx="30">
                  <c:v>6</c:v>
                </c:pt>
                <c:pt idx="31">
                  <c:v>18</c:v>
                </c:pt>
                <c:pt idx="32">
                  <c:v>4</c:v>
                </c:pt>
                <c:pt idx="33">
                  <c:v>8</c:v>
                </c:pt>
                <c:pt idx="34">
                  <c:v>8</c:v>
                </c:pt>
                <c:pt idx="35">
                  <c:v>15</c:v>
                </c:pt>
                <c:pt idx="36">
                  <c:v>13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73-438B-A7F7-B47E45608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264687"/>
        <c:axId val="1448251727"/>
      </c:scatterChart>
      <c:valAx>
        <c:axId val="144826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(Menit)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51727"/>
        <c:crosses val="autoZero"/>
        <c:crossBetween val="midCat"/>
      </c:valAx>
      <c:valAx>
        <c:axId val="144825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BPM dan SpO₂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64687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6452</xdr:colOff>
      <xdr:row>9</xdr:row>
      <xdr:rowOff>4344</xdr:rowOff>
    </xdr:from>
    <xdr:to>
      <xdr:col>21</xdr:col>
      <xdr:colOff>129716</xdr:colOff>
      <xdr:row>23</xdr:row>
      <xdr:rowOff>60849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21C019-F600-DACD-B7F8-FA2AC87B1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8598</xdr:colOff>
      <xdr:row>46</xdr:row>
      <xdr:rowOff>1696</xdr:rowOff>
    </xdr:from>
    <xdr:to>
      <xdr:col>21</xdr:col>
      <xdr:colOff>119741</xdr:colOff>
      <xdr:row>63</xdr:row>
      <xdr:rowOff>29610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0F2BE0-E3BC-F661-79D7-14A8B7CC3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6598</xdr:colOff>
      <xdr:row>116</xdr:row>
      <xdr:rowOff>14265</xdr:rowOff>
    </xdr:from>
    <xdr:to>
      <xdr:col>21</xdr:col>
      <xdr:colOff>178956</xdr:colOff>
      <xdr:row>133</xdr:row>
      <xdr:rowOff>30639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34F6C6-2989-E25D-6DB0-A550FE69D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8434</xdr:colOff>
      <xdr:row>80</xdr:row>
      <xdr:rowOff>106218</xdr:rowOff>
    </xdr:from>
    <xdr:to>
      <xdr:col>21</xdr:col>
      <xdr:colOff>193161</xdr:colOff>
      <xdr:row>97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37CF3A-A6B9-E9D1-1E64-EE2C53FAC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12949</xdr:colOff>
      <xdr:row>236</xdr:row>
      <xdr:rowOff>186927</xdr:rowOff>
    </xdr:from>
    <xdr:to>
      <xdr:col>32</xdr:col>
      <xdr:colOff>164852</xdr:colOff>
      <xdr:row>253</xdr:row>
      <xdr:rowOff>38708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542D6-074B-F789-D75D-FB3286883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9081</xdr:colOff>
      <xdr:row>280</xdr:row>
      <xdr:rowOff>161474</xdr:rowOff>
    </xdr:from>
    <xdr:to>
      <xdr:col>28</xdr:col>
      <xdr:colOff>181438</xdr:colOff>
      <xdr:row>297</xdr:row>
      <xdr:rowOff>154218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3AE65D-8C21-C9E9-5CA3-21FCEF0AB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61"/>
  <sheetViews>
    <sheetView tabSelected="1" topLeftCell="A256" zoomScale="70" zoomScaleNormal="70" workbookViewId="0">
      <selection activeCell="M263" sqref="M263"/>
    </sheetView>
  </sheetViews>
  <sheetFormatPr defaultColWidth="12.6328125" defaultRowHeight="15.75" customHeight="1" x14ac:dyDescent="0.25"/>
  <cols>
    <col min="1" max="16384" width="12.6328125" style="7"/>
  </cols>
  <sheetData>
    <row r="1" spans="1:14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M1" s="5" t="s">
        <v>212</v>
      </c>
      <c r="N1" s="5" t="s">
        <v>213</v>
      </c>
    </row>
    <row r="2" spans="1:14" ht="15.75" customHeight="1" x14ac:dyDescent="0.25">
      <c r="A2" s="8">
        <v>1</v>
      </c>
      <c r="B2" s="9">
        <v>46242</v>
      </c>
      <c r="C2" s="10">
        <v>0.42891203703703706</v>
      </c>
      <c r="D2" s="8">
        <v>86</v>
      </c>
      <c r="E2" s="8">
        <v>99</v>
      </c>
      <c r="F2" s="11" t="s">
        <v>11</v>
      </c>
      <c r="G2" s="11" t="s">
        <v>12</v>
      </c>
      <c r="H2" s="12">
        <v>0</v>
      </c>
      <c r="I2" s="8">
        <v>26</v>
      </c>
      <c r="J2" s="8">
        <v>-36</v>
      </c>
      <c r="K2" s="13" t="s">
        <v>13</v>
      </c>
      <c r="M2" s="7">
        <f>ROUND(6371000*ACOS(COS(RADIANS(VALUE(F$2)))*COS(RADIANS(VALUE(F2)))*COS(RADIANS(VALUE(G2)-VALUE(G$2)))+SIN(RADIANS(VALUE(F$2)))*SIN(RADIANS(VALUE(F2)))),2)</f>
        <v>0.09</v>
      </c>
      <c r="N2" s="7">
        <f>N43</f>
        <v>0</v>
      </c>
    </row>
    <row r="3" spans="1:14" ht="15.75" customHeight="1" x14ac:dyDescent="0.25">
      <c r="A3" s="8">
        <v>2</v>
      </c>
      <c r="B3" s="9">
        <v>46242</v>
      </c>
      <c r="C3" s="10">
        <v>0.42900462962962965</v>
      </c>
      <c r="D3" s="8">
        <v>86</v>
      </c>
      <c r="E3" s="8">
        <v>99</v>
      </c>
      <c r="F3" s="11" t="s">
        <v>14</v>
      </c>
      <c r="G3" s="11" t="s">
        <v>15</v>
      </c>
      <c r="H3" s="12">
        <v>0.76</v>
      </c>
      <c r="I3" s="8">
        <v>26</v>
      </c>
      <c r="J3" s="8">
        <v>-44</v>
      </c>
      <c r="K3" s="13" t="s">
        <v>13</v>
      </c>
      <c r="M3" s="7">
        <f t="shared" ref="M3:M41" si="0">ROUND(6371000*ACOS(COS(RADIANS(VALUE(F$2)))*COS(RADIANS(VALUE(F3)))*COS(RADIANS(VALUE(G3)-VALUE(G$2)))+SIN(RADIANS(VALUE(F$2)))*SIN(RADIANS(VALUE(F3)))),2)</f>
        <v>69.42</v>
      </c>
      <c r="N3" s="7">
        <f t="shared" ref="N3:N41" si="1">ROUND((C3-$C$2)*1440,2)</f>
        <v>0.13</v>
      </c>
    </row>
    <row r="4" spans="1:14" ht="15.75" customHeight="1" x14ac:dyDescent="0.25">
      <c r="A4" s="8">
        <v>3</v>
      </c>
      <c r="B4" s="9">
        <v>46242</v>
      </c>
      <c r="C4" s="10">
        <v>0.42909722222222224</v>
      </c>
      <c r="D4" s="8">
        <v>86</v>
      </c>
      <c r="E4" s="8">
        <v>99</v>
      </c>
      <c r="F4" s="11" t="s">
        <v>16</v>
      </c>
      <c r="G4" s="11" t="s">
        <v>17</v>
      </c>
      <c r="H4" s="12">
        <v>1.53</v>
      </c>
      <c r="I4" s="8">
        <v>26</v>
      </c>
      <c r="J4" s="8">
        <v>-44</v>
      </c>
      <c r="K4" s="13" t="s">
        <v>13</v>
      </c>
      <c r="M4" s="7">
        <f t="shared" si="0"/>
        <v>138.74</v>
      </c>
      <c r="N4" s="7">
        <f t="shared" si="1"/>
        <v>0.27</v>
      </c>
    </row>
    <row r="5" spans="1:14" ht="15.75" customHeight="1" x14ac:dyDescent="0.25">
      <c r="A5" s="8">
        <v>4</v>
      </c>
      <c r="B5" s="9">
        <v>46242</v>
      </c>
      <c r="C5" s="10">
        <v>0.42918981481481483</v>
      </c>
      <c r="D5" s="8">
        <v>86</v>
      </c>
      <c r="E5" s="8">
        <v>99</v>
      </c>
      <c r="F5" s="11" t="s">
        <v>18</v>
      </c>
      <c r="G5" s="11" t="s">
        <v>19</v>
      </c>
      <c r="H5" s="12">
        <v>2.29</v>
      </c>
      <c r="I5" s="8">
        <v>26</v>
      </c>
      <c r="J5" s="8">
        <v>-45</v>
      </c>
      <c r="K5" s="13" t="s">
        <v>13</v>
      </c>
      <c r="M5" s="7">
        <f t="shared" si="0"/>
        <v>208.17</v>
      </c>
      <c r="N5" s="7">
        <f t="shared" si="1"/>
        <v>0.4</v>
      </c>
    </row>
    <row r="6" spans="1:14" ht="15.75" customHeight="1" x14ac:dyDescent="0.25">
      <c r="A6" s="8">
        <v>5</v>
      </c>
      <c r="B6" s="9">
        <v>46242</v>
      </c>
      <c r="C6" s="10">
        <v>0.42928240740740742</v>
      </c>
      <c r="D6" s="8">
        <v>86</v>
      </c>
      <c r="E6" s="8">
        <v>99</v>
      </c>
      <c r="F6" s="11" t="s">
        <v>20</v>
      </c>
      <c r="G6" s="11" t="s">
        <v>21</v>
      </c>
      <c r="H6" s="12">
        <v>3.05</v>
      </c>
      <c r="I6" s="8">
        <v>26</v>
      </c>
      <c r="J6" s="8">
        <v>-45</v>
      </c>
      <c r="K6" s="13" t="s">
        <v>13</v>
      </c>
      <c r="M6" s="7">
        <f t="shared" si="0"/>
        <v>277.56</v>
      </c>
      <c r="N6" s="7">
        <f t="shared" si="1"/>
        <v>0.53</v>
      </c>
    </row>
    <row r="7" spans="1:14" ht="15.75" customHeight="1" x14ac:dyDescent="0.25">
      <c r="A7" s="8">
        <v>6</v>
      </c>
      <c r="B7" s="9">
        <v>46242</v>
      </c>
      <c r="C7" s="10">
        <v>0.42937500000000001</v>
      </c>
      <c r="D7" s="8">
        <v>86</v>
      </c>
      <c r="E7" s="8">
        <v>99</v>
      </c>
      <c r="F7" s="11" t="s">
        <v>22</v>
      </c>
      <c r="G7" s="11" t="s">
        <v>23</v>
      </c>
      <c r="H7" s="12">
        <v>3.81</v>
      </c>
      <c r="I7" s="8">
        <v>26</v>
      </c>
      <c r="J7" s="8">
        <v>-61</v>
      </c>
      <c r="K7" s="13" t="s">
        <v>13</v>
      </c>
      <c r="M7" s="7">
        <f t="shared" si="0"/>
        <v>346.88</v>
      </c>
      <c r="N7" s="7">
        <f t="shared" si="1"/>
        <v>0.67</v>
      </c>
    </row>
    <row r="8" spans="1:14" ht="15.75" customHeight="1" x14ac:dyDescent="0.25">
      <c r="A8" s="8">
        <v>7</v>
      </c>
      <c r="B8" s="9">
        <v>46242</v>
      </c>
      <c r="C8" s="10">
        <v>0.4294675925925926</v>
      </c>
      <c r="D8" s="8">
        <v>86</v>
      </c>
      <c r="E8" s="8">
        <v>99</v>
      </c>
      <c r="F8" s="11" t="s">
        <v>24</v>
      </c>
      <c r="G8" s="11" t="s">
        <v>25</v>
      </c>
      <c r="H8" s="12">
        <v>4.58</v>
      </c>
      <c r="I8" s="8">
        <v>26</v>
      </c>
      <c r="J8" s="8">
        <v>-84</v>
      </c>
      <c r="K8" s="13" t="s">
        <v>13</v>
      </c>
      <c r="M8" s="7">
        <f t="shared" si="0"/>
        <v>416.3</v>
      </c>
      <c r="N8" s="7">
        <f t="shared" si="1"/>
        <v>0.8</v>
      </c>
    </row>
    <row r="9" spans="1:14" ht="15.75" customHeight="1" x14ac:dyDescent="0.25">
      <c r="A9" s="8">
        <v>8</v>
      </c>
      <c r="B9" s="9">
        <v>46242</v>
      </c>
      <c r="C9" s="10">
        <v>0.42956018518518518</v>
      </c>
      <c r="D9" s="8">
        <v>86</v>
      </c>
      <c r="E9" s="8">
        <v>99</v>
      </c>
      <c r="F9" s="11" t="s">
        <v>26</v>
      </c>
      <c r="G9" s="11" t="s">
        <v>27</v>
      </c>
      <c r="H9" s="12">
        <v>5.34</v>
      </c>
      <c r="I9" s="8">
        <v>26</v>
      </c>
      <c r="J9" s="8">
        <v>-94</v>
      </c>
      <c r="K9" s="13" t="s">
        <v>13</v>
      </c>
      <c r="M9" s="7">
        <f t="shared" si="0"/>
        <v>485.73</v>
      </c>
      <c r="N9" s="7">
        <f t="shared" si="1"/>
        <v>0.93</v>
      </c>
    </row>
    <row r="10" spans="1:14" ht="15.75" customHeight="1" x14ac:dyDescent="0.25">
      <c r="A10" s="8">
        <v>9</v>
      </c>
      <c r="B10" s="9">
        <v>46242</v>
      </c>
      <c r="C10" s="10">
        <v>0.42965277777777777</v>
      </c>
      <c r="D10" s="8">
        <v>86</v>
      </c>
      <c r="E10" s="8">
        <v>99</v>
      </c>
      <c r="F10" s="11" t="s">
        <v>28</v>
      </c>
      <c r="G10" s="11" t="s">
        <v>29</v>
      </c>
      <c r="H10" s="12">
        <v>6.1</v>
      </c>
      <c r="I10" s="8">
        <v>26</v>
      </c>
      <c r="J10" s="8">
        <v>-96</v>
      </c>
      <c r="K10" s="13" t="s">
        <v>13</v>
      </c>
      <c r="M10" s="7">
        <f t="shared" si="0"/>
        <v>555.04</v>
      </c>
      <c r="N10" s="7">
        <f t="shared" si="1"/>
        <v>1.07</v>
      </c>
    </row>
    <row r="11" spans="1:14" ht="15.75" customHeight="1" x14ac:dyDescent="0.25">
      <c r="A11" s="8">
        <v>10</v>
      </c>
      <c r="B11" s="9">
        <v>46242</v>
      </c>
      <c r="C11" s="10">
        <v>0.42974537037037036</v>
      </c>
      <c r="D11" s="8">
        <v>86</v>
      </c>
      <c r="E11" s="8">
        <v>99</v>
      </c>
      <c r="F11" s="11" t="s">
        <v>30</v>
      </c>
      <c r="G11" s="11" t="s">
        <v>31</v>
      </c>
      <c r="H11" s="12">
        <v>6.86</v>
      </c>
      <c r="I11" s="8">
        <v>26</v>
      </c>
      <c r="J11" s="8">
        <v>-89</v>
      </c>
      <c r="K11" s="13" t="s">
        <v>13</v>
      </c>
      <c r="M11" s="7">
        <f t="shared" si="0"/>
        <v>624.47</v>
      </c>
      <c r="N11" s="7">
        <f>ROUND((C11-$C$2)*1440,2)</f>
        <v>1.2</v>
      </c>
    </row>
    <row r="12" spans="1:14" ht="15.75" customHeight="1" x14ac:dyDescent="0.25">
      <c r="A12" s="8">
        <v>11</v>
      </c>
      <c r="B12" s="9">
        <v>46242</v>
      </c>
      <c r="C12" s="10">
        <v>0.42983796296296295</v>
      </c>
      <c r="D12" s="8">
        <v>82</v>
      </c>
      <c r="E12" s="8">
        <v>99</v>
      </c>
      <c r="F12" s="11" t="s">
        <v>32</v>
      </c>
      <c r="G12" s="11" t="s">
        <v>33</v>
      </c>
      <c r="H12" s="12">
        <v>7.63</v>
      </c>
      <c r="I12" s="8">
        <v>26</v>
      </c>
      <c r="J12" s="8">
        <v>-102</v>
      </c>
      <c r="K12" s="13" t="s">
        <v>13</v>
      </c>
      <c r="M12" s="7">
        <f t="shared" si="0"/>
        <v>693.75</v>
      </c>
      <c r="N12" s="7">
        <f t="shared" si="1"/>
        <v>1.33</v>
      </c>
    </row>
    <row r="13" spans="1:14" ht="15.75" customHeight="1" x14ac:dyDescent="0.25">
      <c r="A13" s="8">
        <v>12</v>
      </c>
      <c r="B13" s="9">
        <v>46242</v>
      </c>
      <c r="C13" s="10">
        <v>0.42993055555555554</v>
      </c>
      <c r="D13" s="8">
        <v>82</v>
      </c>
      <c r="E13" s="8">
        <v>99</v>
      </c>
      <c r="F13" s="11" t="s">
        <v>34</v>
      </c>
      <c r="G13" s="11" t="s">
        <v>35</v>
      </c>
      <c r="H13" s="12">
        <v>8.39</v>
      </c>
      <c r="I13" s="8">
        <v>26</v>
      </c>
      <c r="J13" s="8">
        <v>-101</v>
      </c>
      <c r="K13" s="13" t="s">
        <v>13</v>
      </c>
      <c r="M13" s="7">
        <f t="shared" si="0"/>
        <v>763.18</v>
      </c>
      <c r="N13" s="7">
        <f t="shared" si="1"/>
        <v>1.47</v>
      </c>
    </row>
    <row r="14" spans="1:14" ht="15.75" customHeight="1" x14ac:dyDescent="0.25">
      <c r="A14" s="8">
        <v>13</v>
      </c>
      <c r="B14" s="9">
        <v>46242</v>
      </c>
      <c r="C14" s="10">
        <v>0.43002314814814813</v>
      </c>
      <c r="D14" s="8">
        <v>82</v>
      </c>
      <c r="E14" s="8">
        <v>99</v>
      </c>
      <c r="F14" s="11" t="s">
        <v>36</v>
      </c>
      <c r="G14" s="11" t="s">
        <v>37</v>
      </c>
      <c r="H14" s="12">
        <v>9.15</v>
      </c>
      <c r="I14" s="8">
        <v>26</v>
      </c>
      <c r="J14" s="8">
        <v>-102</v>
      </c>
      <c r="K14" s="13" t="s">
        <v>13</v>
      </c>
      <c r="M14" s="7">
        <f t="shared" si="0"/>
        <v>832.6</v>
      </c>
      <c r="N14" s="7">
        <f t="shared" si="1"/>
        <v>1.6</v>
      </c>
    </row>
    <row r="15" spans="1:14" ht="15.75" customHeight="1" x14ac:dyDescent="0.25">
      <c r="A15" s="8">
        <v>14</v>
      </c>
      <c r="B15" s="9">
        <v>46242</v>
      </c>
      <c r="C15" s="10">
        <v>0.43011574074074072</v>
      </c>
      <c r="D15" s="8">
        <v>82</v>
      </c>
      <c r="E15" s="8">
        <v>99</v>
      </c>
      <c r="F15" s="11" t="s">
        <v>38</v>
      </c>
      <c r="G15" s="11" t="s">
        <v>39</v>
      </c>
      <c r="H15" s="12">
        <v>9.91</v>
      </c>
      <c r="I15" s="8">
        <v>26</v>
      </c>
      <c r="J15" s="8">
        <v>-106</v>
      </c>
      <c r="K15" s="13" t="s">
        <v>13</v>
      </c>
      <c r="M15" s="7">
        <f t="shared" si="0"/>
        <v>901.92</v>
      </c>
      <c r="N15" s="7">
        <f t="shared" si="1"/>
        <v>1.73</v>
      </c>
    </row>
    <row r="16" spans="1:14" ht="15.75" customHeight="1" x14ac:dyDescent="0.25">
      <c r="A16" s="8">
        <v>15</v>
      </c>
      <c r="B16" s="9">
        <v>46242</v>
      </c>
      <c r="C16" s="10">
        <v>0.43020833333333336</v>
      </c>
      <c r="D16" s="8">
        <v>82</v>
      </c>
      <c r="E16" s="8">
        <v>99</v>
      </c>
      <c r="F16" s="11" t="s">
        <v>40</v>
      </c>
      <c r="G16" s="11" t="s">
        <v>41</v>
      </c>
      <c r="H16" s="12">
        <v>10.68</v>
      </c>
      <c r="I16" s="8">
        <v>26</v>
      </c>
      <c r="J16" s="8">
        <v>-108</v>
      </c>
      <c r="K16" s="13" t="s">
        <v>13</v>
      </c>
      <c r="M16" s="7">
        <f t="shared" si="0"/>
        <v>971.34</v>
      </c>
      <c r="N16" s="7">
        <f t="shared" si="1"/>
        <v>1.87</v>
      </c>
    </row>
    <row r="17" spans="1:14" ht="15.75" customHeight="1" x14ac:dyDescent="0.25">
      <c r="A17" s="8">
        <v>16</v>
      </c>
      <c r="B17" s="9">
        <v>46242</v>
      </c>
      <c r="C17" s="10">
        <v>0.43030092592592595</v>
      </c>
      <c r="D17" s="8">
        <v>92</v>
      </c>
      <c r="E17" s="8">
        <v>99</v>
      </c>
      <c r="F17" s="11" t="s">
        <v>42</v>
      </c>
      <c r="G17" s="11" t="s">
        <v>43</v>
      </c>
      <c r="H17" s="12">
        <v>11.44</v>
      </c>
      <c r="I17" s="8">
        <v>26</v>
      </c>
      <c r="J17" s="8">
        <v>-108</v>
      </c>
      <c r="K17" s="13" t="s">
        <v>13</v>
      </c>
      <c r="M17" s="7">
        <f t="shared" si="0"/>
        <v>982.63</v>
      </c>
      <c r="N17" s="7">
        <f t="shared" si="1"/>
        <v>2</v>
      </c>
    </row>
    <row r="18" spans="1:14" ht="15.75" customHeight="1" x14ac:dyDescent="0.25">
      <c r="A18" s="8">
        <v>17</v>
      </c>
      <c r="B18" s="9">
        <v>46242</v>
      </c>
      <c r="C18" s="10">
        <v>0.43039351851851854</v>
      </c>
      <c r="D18" s="8">
        <v>92</v>
      </c>
      <c r="E18" s="8">
        <v>99</v>
      </c>
      <c r="F18" s="11" t="s">
        <v>44</v>
      </c>
      <c r="G18" s="11" t="s">
        <v>45</v>
      </c>
      <c r="H18" s="12">
        <v>12.2</v>
      </c>
      <c r="I18" s="8">
        <v>26</v>
      </c>
      <c r="J18" s="8">
        <v>-105</v>
      </c>
      <c r="K18" s="13" t="s">
        <v>13</v>
      </c>
      <c r="M18" s="7">
        <f t="shared" si="0"/>
        <v>983.54</v>
      </c>
      <c r="N18" s="7">
        <f t="shared" si="1"/>
        <v>2.13</v>
      </c>
    </row>
    <row r="19" spans="1:14" ht="15.75" customHeight="1" x14ac:dyDescent="0.25">
      <c r="A19" s="8">
        <v>18</v>
      </c>
      <c r="B19" s="9">
        <v>46242</v>
      </c>
      <c r="C19" s="10">
        <v>0.43048611111111112</v>
      </c>
      <c r="D19" s="8">
        <v>92</v>
      </c>
      <c r="E19" s="8">
        <v>99</v>
      </c>
      <c r="F19" s="11" t="s">
        <v>46</v>
      </c>
      <c r="G19" s="11" t="s">
        <v>47</v>
      </c>
      <c r="H19" s="12">
        <v>12.96</v>
      </c>
      <c r="I19" s="8">
        <v>26</v>
      </c>
      <c r="J19" s="8">
        <v>-114</v>
      </c>
      <c r="K19" s="13" t="s">
        <v>13</v>
      </c>
      <c r="M19" s="7">
        <f t="shared" si="0"/>
        <v>984.46</v>
      </c>
      <c r="N19" s="7">
        <f t="shared" si="1"/>
        <v>2.27</v>
      </c>
    </row>
    <row r="20" spans="1:14" ht="15.75" customHeight="1" x14ac:dyDescent="0.25">
      <c r="A20" s="8">
        <v>19</v>
      </c>
      <c r="B20" s="9">
        <v>46242</v>
      </c>
      <c r="C20" s="10">
        <v>0.43057870370370371</v>
      </c>
      <c r="D20" s="8">
        <v>92</v>
      </c>
      <c r="E20" s="8">
        <v>99</v>
      </c>
      <c r="F20" s="11" t="s">
        <v>48</v>
      </c>
      <c r="G20" s="11" t="s">
        <v>49</v>
      </c>
      <c r="H20" s="12">
        <v>13.73</v>
      </c>
      <c r="I20" s="8">
        <v>26</v>
      </c>
      <c r="J20" s="8">
        <v>-108</v>
      </c>
      <c r="K20" s="13" t="s">
        <v>13</v>
      </c>
      <c r="M20" s="7">
        <f t="shared" si="0"/>
        <v>985.38</v>
      </c>
      <c r="N20" s="7">
        <f>ROUND((C20-$C$2)*1440,2)</f>
        <v>2.4</v>
      </c>
    </row>
    <row r="21" spans="1:14" ht="15.75" customHeight="1" x14ac:dyDescent="0.25">
      <c r="A21" s="8">
        <v>20</v>
      </c>
      <c r="B21" s="9">
        <v>46242</v>
      </c>
      <c r="C21" s="10">
        <v>0.4306712962962963</v>
      </c>
      <c r="D21" s="8">
        <v>92</v>
      </c>
      <c r="E21" s="8">
        <v>99</v>
      </c>
      <c r="F21" s="11" t="s">
        <v>50</v>
      </c>
      <c r="G21" s="11" t="s">
        <v>51</v>
      </c>
      <c r="H21" s="12">
        <v>14.49</v>
      </c>
      <c r="I21" s="8">
        <v>26</v>
      </c>
      <c r="J21" s="8">
        <v>-119</v>
      </c>
      <c r="K21" s="13" t="s">
        <v>13</v>
      </c>
      <c r="M21" s="7">
        <f t="shared" si="0"/>
        <v>986.29</v>
      </c>
      <c r="N21" s="7">
        <f t="shared" si="1"/>
        <v>2.5299999999999998</v>
      </c>
    </row>
    <row r="22" spans="1:14" ht="15.75" customHeight="1" x14ac:dyDescent="0.25">
      <c r="A22" s="8">
        <v>21</v>
      </c>
      <c r="B22" s="9">
        <v>46242</v>
      </c>
      <c r="C22" s="10">
        <v>0.43076388888888889</v>
      </c>
      <c r="D22" s="8">
        <v>92</v>
      </c>
      <c r="E22" s="8">
        <v>99</v>
      </c>
      <c r="F22" s="14" t="s">
        <v>52</v>
      </c>
      <c r="G22" s="14" t="s">
        <v>53</v>
      </c>
      <c r="H22" s="12">
        <v>15.25</v>
      </c>
      <c r="I22" s="8">
        <v>26</v>
      </c>
      <c r="J22" s="8">
        <v>-108</v>
      </c>
      <c r="K22" s="13" t="s">
        <v>13</v>
      </c>
      <c r="M22" s="7">
        <f t="shared" si="0"/>
        <v>987.21</v>
      </c>
      <c r="N22" s="7">
        <f t="shared" si="1"/>
        <v>2.67</v>
      </c>
    </row>
    <row r="23" spans="1:14" ht="12.5" x14ac:dyDescent="0.25">
      <c r="A23" s="8">
        <v>22</v>
      </c>
      <c r="B23" s="9">
        <v>46242</v>
      </c>
      <c r="C23" s="10">
        <v>0.43085648148148148</v>
      </c>
      <c r="D23" s="8">
        <v>92</v>
      </c>
      <c r="E23" s="8">
        <v>99</v>
      </c>
      <c r="F23" s="11" t="s">
        <v>54</v>
      </c>
      <c r="G23" s="14" t="s">
        <v>55</v>
      </c>
      <c r="H23" s="12">
        <v>16.010000000000002</v>
      </c>
      <c r="I23" s="8">
        <v>26</v>
      </c>
      <c r="J23" s="8">
        <v>-112</v>
      </c>
      <c r="K23" s="13" t="s">
        <v>13</v>
      </c>
      <c r="M23" s="7">
        <f t="shared" si="0"/>
        <v>988.12</v>
      </c>
      <c r="N23" s="7">
        <f t="shared" si="1"/>
        <v>2.8</v>
      </c>
    </row>
    <row r="24" spans="1:14" ht="12.5" x14ac:dyDescent="0.25">
      <c r="A24" s="8">
        <v>23</v>
      </c>
      <c r="B24" s="9">
        <v>46242</v>
      </c>
      <c r="C24" s="10">
        <v>0.43094907407407407</v>
      </c>
      <c r="D24" s="8">
        <v>92</v>
      </c>
      <c r="E24" s="8">
        <v>99</v>
      </c>
      <c r="F24" s="14" t="s">
        <v>56</v>
      </c>
      <c r="G24" s="14" t="s">
        <v>57</v>
      </c>
      <c r="H24" s="12">
        <v>16.78</v>
      </c>
      <c r="I24" s="8">
        <v>26</v>
      </c>
      <c r="J24" s="8">
        <v>-115</v>
      </c>
      <c r="K24" s="13" t="s">
        <v>13</v>
      </c>
      <c r="M24" s="7">
        <f t="shared" si="0"/>
        <v>989.04</v>
      </c>
      <c r="N24" s="7">
        <f t="shared" si="1"/>
        <v>2.93</v>
      </c>
    </row>
    <row r="25" spans="1:14" ht="12.5" x14ac:dyDescent="0.25">
      <c r="A25" s="8">
        <v>24</v>
      </c>
      <c r="B25" s="9">
        <v>46242</v>
      </c>
      <c r="C25" s="10">
        <v>0.43104166666666666</v>
      </c>
      <c r="D25" s="8">
        <v>92</v>
      </c>
      <c r="E25" s="8">
        <v>99</v>
      </c>
      <c r="F25" s="14" t="s">
        <v>58</v>
      </c>
      <c r="G25" s="14" t="s">
        <v>59</v>
      </c>
      <c r="H25" s="12">
        <v>17.54</v>
      </c>
      <c r="I25" s="8">
        <v>26</v>
      </c>
      <c r="J25" s="8">
        <v>-115</v>
      </c>
      <c r="K25" s="13" t="s">
        <v>13</v>
      </c>
      <c r="M25" s="7">
        <f t="shared" si="0"/>
        <v>989.99</v>
      </c>
      <c r="N25" s="7">
        <f t="shared" si="1"/>
        <v>3.07</v>
      </c>
    </row>
    <row r="26" spans="1:14" ht="12.5" x14ac:dyDescent="0.25">
      <c r="A26" s="8">
        <v>25</v>
      </c>
      <c r="B26" s="9">
        <v>46242</v>
      </c>
      <c r="C26" s="10">
        <v>0.43113425925925924</v>
      </c>
      <c r="D26" s="8">
        <v>92</v>
      </c>
      <c r="E26" s="8">
        <v>99</v>
      </c>
      <c r="F26" s="14" t="s">
        <v>60</v>
      </c>
      <c r="G26" s="14" t="s">
        <v>61</v>
      </c>
      <c r="H26" s="12">
        <v>18.3</v>
      </c>
      <c r="I26" s="8">
        <v>26</v>
      </c>
      <c r="J26" s="8">
        <v>-113</v>
      </c>
      <c r="K26" s="13" t="s">
        <v>13</v>
      </c>
      <c r="M26" s="7">
        <f t="shared" si="0"/>
        <v>990.9</v>
      </c>
      <c r="N26" s="7">
        <f t="shared" si="1"/>
        <v>3.2</v>
      </c>
    </row>
    <row r="27" spans="1:14" ht="12.5" x14ac:dyDescent="0.25">
      <c r="A27" s="8">
        <v>26</v>
      </c>
      <c r="B27" s="9">
        <v>46242</v>
      </c>
      <c r="C27" s="10">
        <v>0.43122685185185183</v>
      </c>
      <c r="D27" s="8">
        <v>92</v>
      </c>
      <c r="E27" s="8">
        <v>99</v>
      </c>
      <c r="F27" s="14" t="s">
        <v>62</v>
      </c>
      <c r="G27" s="14" t="s">
        <v>63</v>
      </c>
      <c r="H27" s="12">
        <v>19.059999999999999</v>
      </c>
      <c r="I27" s="8">
        <v>26</v>
      </c>
      <c r="J27" s="8">
        <v>-111</v>
      </c>
      <c r="K27" s="13" t="s">
        <v>13</v>
      </c>
      <c r="M27" s="7">
        <f t="shared" si="0"/>
        <v>991.82</v>
      </c>
      <c r="N27" s="7">
        <f t="shared" si="1"/>
        <v>3.33</v>
      </c>
    </row>
    <row r="28" spans="1:14" ht="12.5" x14ac:dyDescent="0.25">
      <c r="A28" s="8">
        <v>27</v>
      </c>
      <c r="B28" s="9">
        <v>46242</v>
      </c>
      <c r="C28" s="10">
        <v>0.43131944444444442</v>
      </c>
      <c r="D28" s="8">
        <v>92</v>
      </c>
      <c r="E28" s="8">
        <v>99</v>
      </c>
      <c r="F28" s="14" t="s">
        <v>64</v>
      </c>
      <c r="G28" s="14" t="s">
        <v>65</v>
      </c>
      <c r="H28" s="12">
        <v>19.829999999999998</v>
      </c>
      <c r="I28" s="8">
        <v>26</v>
      </c>
      <c r="J28" s="8">
        <v>-118</v>
      </c>
      <c r="K28" s="13" t="s">
        <v>13</v>
      </c>
      <c r="M28" s="7">
        <f t="shared" si="0"/>
        <v>992.74</v>
      </c>
      <c r="N28" s="7">
        <f t="shared" si="1"/>
        <v>3.47</v>
      </c>
    </row>
    <row r="29" spans="1:14" ht="12.5" x14ac:dyDescent="0.25">
      <c r="A29" s="8">
        <v>28</v>
      </c>
      <c r="B29" s="9">
        <v>46242</v>
      </c>
      <c r="C29" s="10">
        <v>0.43141203703703701</v>
      </c>
      <c r="D29" s="8">
        <v>92</v>
      </c>
      <c r="E29" s="8">
        <v>99</v>
      </c>
      <c r="F29" s="14" t="s">
        <v>66</v>
      </c>
      <c r="G29" s="14" t="s">
        <v>67</v>
      </c>
      <c r="H29" s="12">
        <v>20.59</v>
      </c>
      <c r="I29" s="8">
        <v>26</v>
      </c>
      <c r="J29" s="8">
        <v>-118</v>
      </c>
      <c r="K29" s="13" t="s">
        <v>13</v>
      </c>
      <c r="M29" s="7">
        <f t="shared" si="0"/>
        <v>990.4</v>
      </c>
      <c r="N29" s="7">
        <f>ROUND((C29-$C$2)*1440,2)</f>
        <v>3.6</v>
      </c>
    </row>
    <row r="30" spans="1:14" ht="12.5" x14ac:dyDescent="0.25">
      <c r="A30" s="8">
        <v>29</v>
      </c>
      <c r="B30" s="9">
        <v>46242</v>
      </c>
      <c r="C30" s="10">
        <v>0.43150462962962965</v>
      </c>
      <c r="D30" s="8">
        <v>90</v>
      </c>
      <c r="E30" s="8">
        <v>99</v>
      </c>
      <c r="F30" s="14" t="s">
        <v>68</v>
      </c>
      <c r="G30" s="14" t="s">
        <v>69</v>
      </c>
      <c r="H30" s="12">
        <v>21.35</v>
      </c>
      <c r="I30" s="8">
        <v>26</v>
      </c>
      <c r="J30" s="8">
        <v>-119</v>
      </c>
      <c r="K30" s="13" t="s">
        <v>13</v>
      </c>
      <c r="M30" s="7">
        <f t="shared" si="0"/>
        <v>998.3</v>
      </c>
      <c r="N30" s="7">
        <f t="shared" si="1"/>
        <v>3.73</v>
      </c>
    </row>
    <row r="31" spans="1:14" ht="12.5" x14ac:dyDescent="0.25">
      <c r="A31" s="8">
        <v>30</v>
      </c>
      <c r="B31" s="9">
        <v>46242</v>
      </c>
      <c r="C31" s="10">
        <v>0.43159722222222224</v>
      </c>
      <c r="D31" s="8">
        <v>89</v>
      </c>
      <c r="E31" s="8">
        <v>99</v>
      </c>
      <c r="F31" s="14" t="s">
        <v>70</v>
      </c>
      <c r="G31" s="14" t="s">
        <v>71</v>
      </c>
      <c r="H31" s="12">
        <v>22.11</v>
      </c>
      <c r="I31" s="8">
        <v>26</v>
      </c>
      <c r="J31" s="8">
        <v>-119</v>
      </c>
      <c r="K31" s="13" t="s">
        <v>13</v>
      </c>
      <c r="M31" s="7">
        <f t="shared" si="0"/>
        <v>1006.23</v>
      </c>
      <c r="N31" s="7">
        <f>ROUND((C31-$C$2)*1440,2)</f>
        <v>3.87</v>
      </c>
    </row>
    <row r="32" spans="1:14" ht="12.5" x14ac:dyDescent="0.25">
      <c r="A32" s="8">
        <v>31</v>
      </c>
      <c r="B32" s="9">
        <v>46242</v>
      </c>
      <c r="C32" s="10">
        <v>0.43168981481481483</v>
      </c>
      <c r="D32" s="8">
        <v>90</v>
      </c>
      <c r="E32" s="8">
        <v>99</v>
      </c>
      <c r="F32" s="14" t="s">
        <v>72</v>
      </c>
      <c r="G32" s="14" t="s">
        <v>73</v>
      </c>
      <c r="H32" s="12">
        <v>22.88</v>
      </c>
      <c r="I32" s="8">
        <v>26</v>
      </c>
      <c r="J32" s="8">
        <v>-115</v>
      </c>
      <c r="K32" s="13" t="s">
        <v>13</v>
      </c>
      <c r="M32" s="7">
        <f t="shared" si="0"/>
        <v>1014.16</v>
      </c>
      <c r="N32" s="7">
        <f t="shared" si="1"/>
        <v>4</v>
      </c>
    </row>
    <row r="33" spans="1:14" ht="12.5" x14ac:dyDescent="0.25">
      <c r="A33" s="8">
        <v>32</v>
      </c>
      <c r="B33" s="9">
        <v>46242</v>
      </c>
      <c r="C33" s="10">
        <v>0.43178240740740742</v>
      </c>
      <c r="D33" s="8">
        <v>90</v>
      </c>
      <c r="E33" s="8">
        <v>99</v>
      </c>
      <c r="F33" s="14" t="s">
        <v>74</v>
      </c>
      <c r="G33" s="14" t="s">
        <v>75</v>
      </c>
      <c r="H33" s="12">
        <v>23.64</v>
      </c>
      <c r="I33" s="8">
        <v>26</v>
      </c>
      <c r="J33" s="8">
        <v>-119</v>
      </c>
      <c r="K33" s="13" t="s">
        <v>13</v>
      </c>
      <c r="M33" s="7">
        <f t="shared" si="0"/>
        <v>1022.07</v>
      </c>
      <c r="N33" s="7">
        <f t="shared" si="1"/>
        <v>4.13</v>
      </c>
    </row>
    <row r="34" spans="1:14" ht="12.5" x14ac:dyDescent="0.25">
      <c r="A34" s="8">
        <v>33</v>
      </c>
      <c r="B34" s="9">
        <v>46242</v>
      </c>
      <c r="C34" s="10">
        <v>0.43187500000000001</v>
      </c>
      <c r="D34" s="8">
        <v>88</v>
      </c>
      <c r="E34" s="8">
        <v>99</v>
      </c>
      <c r="F34" s="14" t="s">
        <v>76</v>
      </c>
      <c r="G34" s="14" t="s">
        <v>77</v>
      </c>
      <c r="H34" s="12">
        <v>24.4</v>
      </c>
      <c r="I34" s="8">
        <v>26</v>
      </c>
      <c r="J34" s="8">
        <v>-118</v>
      </c>
      <c r="K34" s="13" t="s">
        <v>13</v>
      </c>
      <c r="M34" s="7">
        <f t="shared" si="0"/>
        <v>1030.01</v>
      </c>
      <c r="N34" s="7">
        <f t="shared" si="1"/>
        <v>4.2699999999999996</v>
      </c>
    </row>
    <row r="35" spans="1:14" ht="12.5" x14ac:dyDescent="0.25">
      <c r="A35" s="8">
        <v>34</v>
      </c>
      <c r="B35" s="9">
        <v>46242</v>
      </c>
      <c r="C35" s="10">
        <v>0.4319675925925926</v>
      </c>
      <c r="D35" s="8">
        <v>90</v>
      </c>
      <c r="E35" s="8">
        <v>99</v>
      </c>
      <c r="F35" s="14" t="s">
        <v>78</v>
      </c>
      <c r="G35" s="14" t="s">
        <v>79</v>
      </c>
      <c r="H35" s="12">
        <v>25.16</v>
      </c>
      <c r="I35" s="8">
        <v>26</v>
      </c>
      <c r="J35" s="8">
        <v>-115</v>
      </c>
      <c r="K35" s="13" t="s">
        <v>13</v>
      </c>
      <c r="M35" s="7">
        <f t="shared" si="0"/>
        <v>1037.95</v>
      </c>
      <c r="N35" s="7">
        <f t="shared" si="1"/>
        <v>4.4000000000000004</v>
      </c>
    </row>
    <row r="36" spans="1:14" ht="12.5" x14ac:dyDescent="0.25">
      <c r="A36" s="8">
        <v>35</v>
      </c>
      <c r="B36" s="9">
        <v>46242</v>
      </c>
      <c r="C36" s="10">
        <v>0.43206018518518519</v>
      </c>
      <c r="D36" s="8">
        <v>90</v>
      </c>
      <c r="E36" s="8">
        <v>99</v>
      </c>
      <c r="F36" s="14" t="s">
        <v>80</v>
      </c>
      <c r="G36" s="14" t="s">
        <v>81</v>
      </c>
      <c r="H36" s="12">
        <v>25.93</v>
      </c>
      <c r="I36" s="8">
        <v>26</v>
      </c>
      <c r="J36" s="8">
        <v>-117</v>
      </c>
      <c r="K36" s="13" t="s">
        <v>13</v>
      </c>
      <c r="M36" s="7">
        <f t="shared" si="0"/>
        <v>1046</v>
      </c>
      <c r="N36" s="7">
        <f t="shared" si="1"/>
        <v>4.53</v>
      </c>
    </row>
    <row r="37" spans="1:14" ht="12.5" x14ac:dyDescent="0.25">
      <c r="A37" s="8">
        <v>36</v>
      </c>
      <c r="B37" s="9">
        <v>46242</v>
      </c>
      <c r="C37" s="10">
        <v>0.43215277777777777</v>
      </c>
      <c r="D37" s="8">
        <v>89</v>
      </c>
      <c r="E37" s="8">
        <v>99</v>
      </c>
      <c r="F37" s="14" t="s">
        <v>82</v>
      </c>
      <c r="G37" s="14" t="s">
        <v>83</v>
      </c>
      <c r="H37" s="12">
        <v>26.69</v>
      </c>
      <c r="I37" s="8">
        <v>26</v>
      </c>
      <c r="J37" s="8">
        <v>-119</v>
      </c>
      <c r="K37" s="13" t="s">
        <v>13</v>
      </c>
      <c r="M37" s="7">
        <f t="shared" si="0"/>
        <v>1053.92</v>
      </c>
      <c r="N37" s="7">
        <f t="shared" si="1"/>
        <v>4.67</v>
      </c>
    </row>
    <row r="38" spans="1:14" ht="12.5" x14ac:dyDescent="0.25">
      <c r="A38" s="8">
        <v>37</v>
      </c>
      <c r="B38" s="9">
        <v>46242</v>
      </c>
      <c r="C38" s="10">
        <v>0.43224537037037036</v>
      </c>
      <c r="D38" s="8">
        <v>90</v>
      </c>
      <c r="E38" s="8">
        <v>99</v>
      </c>
      <c r="F38" s="14" t="s">
        <v>84</v>
      </c>
      <c r="G38" s="14" t="s">
        <v>85</v>
      </c>
      <c r="H38" s="12">
        <v>27.45</v>
      </c>
      <c r="I38" s="8">
        <v>26</v>
      </c>
      <c r="J38" s="8">
        <v>-116</v>
      </c>
      <c r="K38" s="13" t="s">
        <v>13</v>
      </c>
      <c r="M38" s="7">
        <f t="shared" si="0"/>
        <v>1061.8699999999999</v>
      </c>
      <c r="N38" s="7">
        <f t="shared" si="1"/>
        <v>4.8</v>
      </c>
    </row>
    <row r="39" spans="1:14" ht="12.5" x14ac:dyDescent="0.25">
      <c r="A39" s="8">
        <v>38</v>
      </c>
      <c r="B39" s="9">
        <v>46242</v>
      </c>
      <c r="C39" s="10">
        <v>0.43233796296296295</v>
      </c>
      <c r="D39" s="8">
        <v>89</v>
      </c>
      <c r="E39" s="8">
        <v>99</v>
      </c>
      <c r="F39" s="14" t="s">
        <v>86</v>
      </c>
      <c r="G39" s="14" t="s">
        <v>87</v>
      </c>
      <c r="H39" s="12">
        <v>28.21</v>
      </c>
      <c r="I39" s="8">
        <v>26</v>
      </c>
      <c r="J39" s="8">
        <v>-118</v>
      </c>
      <c r="K39" s="13" t="s">
        <v>13</v>
      </c>
      <c r="M39" s="7">
        <f t="shared" si="0"/>
        <v>1069.83</v>
      </c>
      <c r="N39" s="7">
        <f t="shared" si="1"/>
        <v>4.93</v>
      </c>
    </row>
    <row r="40" spans="1:14" ht="12.5" x14ac:dyDescent="0.25">
      <c r="A40" s="8">
        <v>39</v>
      </c>
      <c r="B40" s="9">
        <v>46242</v>
      </c>
      <c r="C40" s="10">
        <v>0.43243055555555554</v>
      </c>
      <c r="D40" s="8">
        <v>90</v>
      </c>
      <c r="E40" s="8">
        <v>99</v>
      </c>
      <c r="F40" s="14" t="s">
        <v>88</v>
      </c>
      <c r="G40" s="14" t="s">
        <v>89</v>
      </c>
      <c r="H40" s="12">
        <v>28.98</v>
      </c>
      <c r="I40" s="8">
        <v>26</v>
      </c>
      <c r="J40" s="8">
        <v>-117</v>
      </c>
      <c r="K40" s="13" t="s">
        <v>13</v>
      </c>
      <c r="M40" s="7">
        <f t="shared" si="0"/>
        <v>1077.75</v>
      </c>
      <c r="N40" s="7">
        <f>ROUND((C40-$C$2)*1440,2)</f>
        <v>5.07</v>
      </c>
    </row>
    <row r="41" spans="1:14" ht="12.5" x14ac:dyDescent="0.25">
      <c r="A41" s="8">
        <v>40</v>
      </c>
      <c r="B41" s="9">
        <v>46242</v>
      </c>
      <c r="C41" s="10">
        <v>0.43252314814814813</v>
      </c>
      <c r="D41" s="8">
        <v>89</v>
      </c>
      <c r="E41" s="8">
        <v>99</v>
      </c>
      <c r="F41" s="14" t="s">
        <v>90</v>
      </c>
      <c r="G41" s="14" t="s">
        <v>91</v>
      </c>
      <c r="H41" s="12">
        <v>29.74</v>
      </c>
      <c r="I41" s="8">
        <v>26</v>
      </c>
      <c r="J41" s="8">
        <v>-119</v>
      </c>
      <c r="K41" s="13" t="s">
        <v>13</v>
      </c>
      <c r="M41" s="7">
        <f t="shared" si="0"/>
        <v>1085.71</v>
      </c>
      <c r="N41" s="7">
        <f t="shared" si="1"/>
        <v>5.2</v>
      </c>
    </row>
    <row r="42" spans="1:14" ht="12.5" x14ac:dyDescent="0.25">
      <c r="A42" s="8"/>
      <c r="B42" s="9"/>
      <c r="C42" s="10"/>
      <c r="D42" s="8"/>
      <c r="E42" s="8"/>
      <c r="F42" s="13"/>
      <c r="G42" s="13"/>
      <c r="H42" s="12"/>
      <c r="I42" s="8"/>
      <c r="J42" s="13"/>
      <c r="K42" s="13"/>
    </row>
    <row r="43" spans="1:14" ht="12.5" x14ac:dyDescent="0.25">
      <c r="A43" s="8">
        <v>41</v>
      </c>
      <c r="B43" s="9">
        <v>46263</v>
      </c>
      <c r="C43" s="10">
        <v>0.76224537037037032</v>
      </c>
      <c r="D43" s="8">
        <v>0</v>
      </c>
      <c r="E43" s="8">
        <v>0</v>
      </c>
      <c r="F43" s="11" t="s">
        <v>92</v>
      </c>
      <c r="G43" s="11" t="s">
        <v>93</v>
      </c>
      <c r="H43" s="12">
        <v>0</v>
      </c>
      <c r="I43" s="8">
        <v>26</v>
      </c>
      <c r="J43" s="13">
        <v>-36</v>
      </c>
      <c r="K43" s="13" t="s">
        <v>94</v>
      </c>
      <c r="M43" s="7">
        <f>ROUND(6371000*ACOS(COS(RADIANS(VALUE(F$43)))*COS(RADIANS(VALUE(F43)))*COS(RADIANS(VALUE(G43)-VALUE(G$43)))+SIN(RADIANS(VALUE(F$43)))*SIN(RADIANS(VALUE(F43)))),2)</f>
        <v>0</v>
      </c>
    </row>
    <row r="44" spans="1:14" ht="12.5" x14ac:dyDescent="0.25">
      <c r="A44" s="8">
        <v>42</v>
      </c>
      <c r="B44" s="9">
        <v>46263</v>
      </c>
      <c r="C44" s="10">
        <v>0.76231481481481478</v>
      </c>
      <c r="D44" s="8">
        <v>0</v>
      </c>
      <c r="E44" s="8">
        <v>0</v>
      </c>
      <c r="F44" s="11" t="s">
        <v>92</v>
      </c>
      <c r="G44" s="11" t="s">
        <v>95</v>
      </c>
      <c r="H44" s="12">
        <v>0</v>
      </c>
      <c r="I44" s="8">
        <v>26</v>
      </c>
      <c r="J44" s="13">
        <v>-44</v>
      </c>
      <c r="K44" s="13" t="s">
        <v>94</v>
      </c>
      <c r="M44" s="7">
        <f t="shared" ref="M44:M74" si="2">ROUND(6371000*ACOS(COS(RADIANS(VALUE(F$43)))*COS(RADIANS(VALUE(F44)))*COS(RADIANS(VALUE(G44)-VALUE(G$43)))+SIN(RADIANS(VALUE(F$43)))*SIN(RADIANS(VALUE(F44)))),2)</f>
        <v>0.09</v>
      </c>
    </row>
    <row r="45" spans="1:14" ht="12.5" x14ac:dyDescent="0.25">
      <c r="A45" s="8">
        <v>43</v>
      </c>
      <c r="B45" s="9">
        <v>46263</v>
      </c>
      <c r="C45" s="10">
        <v>0.76239583333333338</v>
      </c>
      <c r="D45" s="8">
        <v>0</v>
      </c>
      <c r="E45" s="8">
        <v>0</v>
      </c>
      <c r="F45" s="11" t="s">
        <v>92</v>
      </c>
      <c r="G45" s="11" t="s">
        <v>96</v>
      </c>
      <c r="H45" s="12">
        <v>0</v>
      </c>
      <c r="I45" s="8">
        <v>26</v>
      </c>
      <c r="J45" s="13">
        <v>-44</v>
      </c>
      <c r="K45" s="13" t="s">
        <v>94</v>
      </c>
      <c r="M45" s="7">
        <f t="shared" si="2"/>
        <v>0.33</v>
      </c>
    </row>
    <row r="46" spans="1:14" ht="12.5" x14ac:dyDescent="0.25">
      <c r="A46" s="8">
        <v>44</v>
      </c>
      <c r="B46" s="9">
        <v>46263</v>
      </c>
      <c r="C46" s="10">
        <v>0.76245370370370369</v>
      </c>
      <c r="D46" s="8">
        <v>0</v>
      </c>
      <c r="E46" s="8">
        <v>0</v>
      </c>
      <c r="F46" s="11" t="s">
        <v>97</v>
      </c>
      <c r="G46" s="11" t="s">
        <v>96</v>
      </c>
      <c r="H46" s="12">
        <v>0</v>
      </c>
      <c r="I46" s="8">
        <v>26</v>
      </c>
      <c r="J46" s="13">
        <v>-45</v>
      </c>
      <c r="K46" s="13" t="s">
        <v>94</v>
      </c>
      <c r="M46" s="7">
        <f t="shared" si="2"/>
        <v>0.36</v>
      </c>
    </row>
    <row r="47" spans="1:14" ht="12.5" x14ac:dyDescent="0.25">
      <c r="A47" s="8">
        <v>45</v>
      </c>
      <c r="B47" s="9">
        <v>46263</v>
      </c>
      <c r="C47" s="10">
        <v>0.76253472222222218</v>
      </c>
      <c r="D47" s="8">
        <v>0</v>
      </c>
      <c r="E47" s="8">
        <v>0</v>
      </c>
      <c r="F47" s="11" t="s">
        <v>97</v>
      </c>
      <c r="G47" s="11" t="s">
        <v>98</v>
      </c>
      <c r="H47" s="12">
        <v>0</v>
      </c>
      <c r="I47" s="8">
        <v>26</v>
      </c>
      <c r="J47" s="13">
        <v>-45</v>
      </c>
      <c r="K47" s="13" t="s">
        <v>94</v>
      </c>
      <c r="M47" s="7">
        <f t="shared" si="2"/>
        <v>0.47</v>
      </c>
    </row>
    <row r="48" spans="1:14" ht="12.5" x14ac:dyDescent="0.25">
      <c r="A48" s="8">
        <v>46</v>
      </c>
      <c r="B48" s="9">
        <v>46263</v>
      </c>
      <c r="C48" s="10">
        <v>0.76260416666666664</v>
      </c>
      <c r="D48" s="8">
        <v>0</v>
      </c>
      <c r="E48" s="8">
        <v>0</v>
      </c>
      <c r="F48" s="11" t="s">
        <v>99</v>
      </c>
      <c r="G48" s="11" t="s">
        <v>100</v>
      </c>
      <c r="H48" s="12">
        <v>0.26</v>
      </c>
      <c r="I48" s="8">
        <v>26</v>
      </c>
      <c r="J48" s="8">
        <v>-61</v>
      </c>
      <c r="K48" s="13" t="s">
        <v>94</v>
      </c>
      <c r="M48" s="7">
        <f t="shared" si="2"/>
        <v>1.25</v>
      </c>
    </row>
    <row r="49" spans="1:13" ht="12.5" x14ac:dyDescent="0.25">
      <c r="A49" s="8">
        <v>47</v>
      </c>
      <c r="B49" s="9">
        <v>46263</v>
      </c>
      <c r="C49" s="10">
        <v>0.76267361111111109</v>
      </c>
      <c r="D49" s="8">
        <v>0</v>
      </c>
      <c r="E49" s="8">
        <v>0</v>
      </c>
      <c r="F49" s="11" t="s">
        <v>101</v>
      </c>
      <c r="G49" s="11" t="s">
        <v>102</v>
      </c>
      <c r="H49" s="12">
        <v>13.24</v>
      </c>
      <c r="I49" s="8">
        <v>26</v>
      </c>
      <c r="J49" s="8">
        <v>-84</v>
      </c>
      <c r="K49" s="13" t="s">
        <v>94</v>
      </c>
      <c r="M49" s="7">
        <f t="shared" si="2"/>
        <v>19.2</v>
      </c>
    </row>
    <row r="50" spans="1:13" ht="12.5" x14ac:dyDescent="0.25">
      <c r="A50" s="8">
        <v>48</v>
      </c>
      <c r="B50" s="9">
        <v>46263</v>
      </c>
      <c r="C50" s="10">
        <v>0.76274305555555555</v>
      </c>
      <c r="D50" s="8">
        <v>0</v>
      </c>
      <c r="E50" s="8">
        <v>0</v>
      </c>
      <c r="F50" s="11" t="s">
        <v>103</v>
      </c>
      <c r="G50" s="11" t="s">
        <v>104</v>
      </c>
      <c r="H50" s="12">
        <v>16.11</v>
      </c>
      <c r="I50" s="8">
        <v>26</v>
      </c>
      <c r="J50" s="8">
        <v>-94</v>
      </c>
      <c r="K50" s="13" t="s">
        <v>94</v>
      </c>
      <c r="M50" s="7">
        <f t="shared" si="2"/>
        <v>45.09</v>
      </c>
    </row>
    <row r="51" spans="1:13" ht="12.5" x14ac:dyDescent="0.25">
      <c r="A51" s="8">
        <v>49</v>
      </c>
      <c r="B51" s="9">
        <v>46263</v>
      </c>
      <c r="C51" s="10">
        <v>0.7628125</v>
      </c>
      <c r="D51" s="8">
        <v>0</v>
      </c>
      <c r="E51" s="8">
        <v>0</v>
      </c>
      <c r="F51" s="11" t="s">
        <v>103</v>
      </c>
      <c r="G51" s="11" t="s">
        <v>105</v>
      </c>
      <c r="H51" s="12">
        <v>16.190000000000001</v>
      </c>
      <c r="I51" s="8">
        <v>26</v>
      </c>
      <c r="J51" s="8">
        <v>-96</v>
      </c>
      <c r="K51" s="13" t="s">
        <v>94</v>
      </c>
      <c r="M51" s="7">
        <f t="shared" si="2"/>
        <v>71.97</v>
      </c>
    </row>
    <row r="52" spans="1:13" ht="12.5" x14ac:dyDescent="0.25">
      <c r="A52" s="8">
        <v>50</v>
      </c>
      <c r="B52" s="9">
        <v>46263</v>
      </c>
      <c r="C52" s="10">
        <v>0.76288194444444446</v>
      </c>
      <c r="D52" s="8">
        <v>0</v>
      </c>
      <c r="E52" s="8">
        <v>0</v>
      </c>
      <c r="F52" s="11" t="s">
        <v>103</v>
      </c>
      <c r="G52" s="11" t="s">
        <v>106</v>
      </c>
      <c r="H52" s="12">
        <v>10.48</v>
      </c>
      <c r="I52" s="8">
        <v>26</v>
      </c>
      <c r="J52" s="8">
        <v>-89</v>
      </c>
      <c r="K52" s="13" t="s">
        <v>94</v>
      </c>
      <c r="M52" s="7">
        <f t="shared" si="2"/>
        <v>92.75</v>
      </c>
    </row>
    <row r="53" spans="1:13" ht="12.5" x14ac:dyDescent="0.25">
      <c r="A53" s="8">
        <v>51</v>
      </c>
      <c r="B53" s="9">
        <v>46263</v>
      </c>
      <c r="C53" s="10">
        <v>0.76295138888888892</v>
      </c>
      <c r="D53" s="8">
        <v>0</v>
      </c>
      <c r="E53" s="8">
        <v>0</v>
      </c>
      <c r="F53" s="11" t="s">
        <v>107</v>
      </c>
      <c r="G53" s="11" t="s">
        <v>108</v>
      </c>
      <c r="H53" s="12">
        <v>7.22</v>
      </c>
      <c r="I53" s="8">
        <v>26</v>
      </c>
      <c r="J53" s="8">
        <v>-102</v>
      </c>
      <c r="K53" s="13" t="s">
        <v>94</v>
      </c>
      <c r="M53" s="7">
        <f t="shared" si="2"/>
        <v>106.97</v>
      </c>
    </row>
    <row r="54" spans="1:13" ht="12.5" x14ac:dyDescent="0.25">
      <c r="A54" s="8">
        <v>52</v>
      </c>
      <c r="B54" s="9">
        <v>46263</v>
      </c>
      <c r="C54" s="10">
        <v>0.76302083333333337</v>
      </c>
      <c r="D54" s="8">
        <v>0</v>
      </c>
      <c r="E54" s="8">
        <v>0</v>
      </c>
      <c r="F54" s="11" t="s">
        <v>109</v>
      </c>
      <c r="G54" s="11" t="s">
        <v>110</v>
      </c>
      <c r="H54" s="12">
        <v>20.37</v>
      </c>
      <c r="I54" s="8">
        <v>26</v>
      </c>
      <c r="J54" s="8">
        <v>-101</v>
      </c>
      <c r="K54" s="13" t="s">
        <v>94</v>
      </c>
      <c r="M54" s="7">
        <f t="shared" si="2"/>
        <v>136.72999999999999</v>
      </c>
    </row>
    <row r="55" spans="1:13" ht="12.5" x14ac:dyDescent="0.25">
      <c r="A55" s="8">
        <v>53</v>
      </c>
      <c r="B55" s="9">
        <v>46263</v>
      </c>
      <c r="C55" s="10">
        <v>0.76309027777777783</v>
      </c>
      <c r="D55" s="8">
        <v>0</v>
      </c>
      <c r="E55" s="8">
        <v>0</v>
      </c>
      <c r="F55" s="11" t="s">
        <v>111</v>
      </c>
      <c r="G55" s="11" t="s">
        <v>112</v>
      </c>
      <c r="H55" s="12">
        <v>23.43</v>
      </c>
      <c r="I55" s="8">
        <v>26</v>
      </c>
      <c r="J55" s="8">
        <v>-102</v>
      </c>
      <c r="K55" s="13" t="s">
        <v>94</v>
      </c>
      <c r="M55" s="7">
        <f t="shared" si="2"/>
        <v>167.67</v>
      </c>
    </row>
    <row r="56" spans="1:13" ht="12.5" x14ac:dyDescent="0.25">
      <c r="A56" s="8">
        <v>54</v>
      </c>
      <c r="B56" s="9">
        <v>46263</v>
      </c>
      <c r="C56" s="15">
        <v>0.76315972222222217</v>
      </c>
      <c r="D56" s="13">
        <v>0</v>
      </c>
      <c r="E56" s="13">
        <v>0</v>
      </c>
      <c r="F56" s="11" t="s">
        <v>113</v>
      </c>
      <c r="G56" s="11" t="s">
        <v>114</v>
      </c>
      <c r="H56" s="12">
        <v>24.34</v>
      </c>
      <c r="I56" s="13">
        <v>26</v>
      </c>
      <c r="J56" s="13">
        <v>-106</v>
      </c>
      <c r="K56" s="13" t="s">
        <v>94</v>
      </c>
      <c r="M56" s="7">
        <f t="shared" si="2"/>
        <v>214.63</v>
      </c>
    </row>
    <row r="57" spans="1:13" ht="12.5" x14ac:dyDescent="0.25">
      <c r="A57" s="8">
        <v>55</v>
      </c>
      <c r="B57" s="9">
        <v>46263</v>
      </c>
      <c r="C57" s="10">
        <v>0.76322916666666663</v>
      </c>
      <c r="D57" s="8">
        <v>0</v>
      </c>
      <c r="E57" s="8">
        <v>0</v>
      </c>
      <c r="F57" s="16" t="s">
        <v>115</v>
      </c>
      <c r="G57" s="16" t="s">
        <v>116</v>
      </c>
      <c r="H57" s="12">
        <v>23.93</v>
      </c>
      <c r="I57" s="8">
        <v>26</v>
      </c>
      <c r="J57" s="8">
        <v>-108</v>
      </c>
      <c r="K57" s="13" t="s">
        <v>94</v>
      </c>
      <c r="M57" s="7">
        <f t="shared" si="2"/>
        <v>254.27</v>
      </c>
    </row>
    <row r="58" spans="1:13" ht="12.5" x14ac:dyDescent="0.25">
      <c r="A58" s="8">
        <v>56</v>
      </c>
      <c r="B58" s="9">
        <v>46263</v>
      </c>
      <c r="C58" s="10">
        <v>0.76331018518518523</v>
      </c>
      <c r="D58" s="8">
        <v>0</v>
      </c>
      <c r="E58" s="17">
        <v>0</v>
      </c>
      <c r="F58" s="16" t="s">
        <v>117</v>
      </c>
      <c r="G58" s="16" t="s">
        <v>118</v>
      </c>
      <c r="H58" s="12">
        <v>24.17</v>
      </c>
      <c r="I58" s="8">
        <v>26</v>
      </c>
      <c r="J58" s="8">
        <v>-108</v>
      </c>
      <c r="K58" s="13" t="s">
        <v>94</v>
      </c>
      <c r="M58" s="7">
        <f t="shared" si="2"/>
        <v>294.82</v>
      </c>
    </row>
    <row r="59" spans="1:13" ht="12.5" x14ac:dyDescent="0.25">
      <c r="A59" s="8">
        <v>57</v>
      </c>
      <c r="B59" s="9">
        <v>46263</v>
      </c>
      <c r="C59" s="10">
        <v>0.76337962962962957</v>
      </c>
      <c r="D59" s="8">
        <v>0</v>
      </c>
      <c r="E59" s="17">
        <v>0</v>
      </c>
      <c r="F59" s="16" t="s">
        <v>117</v>
      </c>
      <c r="G59" s="16" t="s">
        <v>119</v>
      </c>
      <c r="H59" s="12">
        <v>22.48</v>
      </c>
      <c r="I59" s="8">
        <v>26</v>
      </c>
      <c r="J59" s="8">
        <v>-105</v>
      </c>
      <c r="K59" s="13" t="s">
        <v>94</v>
      </c>
      <c r="M59" s="7">
        <f t="shared" si="2"/>
        <v>334.28</v>
      </c>
    </row>
    <row r="60" spans="1:13" ht="12.5" x14ac:dyDescent="0.25">
      <c r="A60" s="8">
        <v>58</v>
      </c>
      <c r="B60" s="9">
        <v>46263</v>
      </c>
      <c r="C60" s="10">
        <v>0.76346064814814818</v>
      </c>
      <c r="D60" s="8">
        <v>0</v>
      </c>
      <c r="E60" s="17">
        <v>0</v>
      </c>
      <c r="F60" s="16" t="s">
        <v>120</v>
      </c>
      <c r="G60" s="16" t="s">
        <v>121</v>
      </c>
      <c r="H60" s="12">
        <v>24.74</v>
      </c>
      <c r="I60" s="8">
        <v>26</v>
      </c>
      <c r="J60" s="8">
        <v>-114</v>
      </c>
      <c r="K60" s="13" t="s">
        <v>94</v>
      </c>
      <c r="M60" s="7">
        <f t="shared" si="2"/>
        <v>374.73</v>
      </c>
    </row>
    <row r="61" spans="1:13" ht="12.5" x14ac:dyDescent="0.25">
      <c r="A61" s="8">
        <v>59</v>
      </c>
      <c r="B61" s="9">
        <v>46263</v>
      </c>
      <c r="C61" s="10">
        <v>0.76351851851851849</v>
      </c>
      <c r="D61" s="8">
        <v>0</v>
      </c>
      <c r="E61" s="8">
        <v>0</v>
      </c>
      <c r="F61" s="16" t="s">
        <v>122</v>
      </c>
      <c r="G61" s="16" t="s">
        <v>123</v>
      </c>
      <c r="H61" s="12">
        <v>24.89</v>
      </c>
      <c r="I61" s="8">
        <v>26</v>
      </c>
      <c r="J61" s="8">
        <v>-108</v>
      </c>
      <c r="K61" s="13" t="s">
        <v>94</v>
      </c>
      <c r="M61" s="7">
        <f t="shared" si="2"/>
        <v>415.97</v>
      </c>
    </row>
    <row r="62" spans="1:13" ht="12.5" x14ac:dyDescent="0.25">
      <c r="A62" s="8">
        <v>60</v>
      </c>
      <c r="B62" s="9">
        <v>46263</v>
      </c>
      <c r="C62" s="10">
        <v>0.76358796296296294</v>
      </c>
      <c r="D62" s="8">
        <v>0</v>
      </c>
      <c r="E62" s="8">
        <v>0</v>
      </c>
      <c r="F62" s="16" t="s">
        <v>120</v>
      </c>
      <c r="G62" s="16" t="s">
        <v>124</v>
      </c>
      <c r="H62" s="12">
        <v>23.98</v>
      </c>
      <c r="I62" s="8">
        <v>26</v>
      </c>
      <c r="J62" s="8">
        <v>-119</v>
      </c>
      <c r="K62" s="13" t="s">
        <v>94</v>
      </c>
      <c r="M62" s="7">
        <f t="shared" si="2"/>
        <v>456.99</v>
      </c>
    </row>
    <row r="63" spans="1:13" ht="12.5" x14ac:dyDescent="0.25">
      <c r="A63" s="8">
        <v>61</v>
      </c>
      <c r="B63" s="9">
        <v>46263</v>
      </c>
      <c r="C63" s="10">
        <v>0.7636574074074074</v>
      </c>
      <c r="D63" s="8">
        <v>0</v>
      </c>
      <c r="E63" s="8">
        <v>0</v>
      </c>
      <c r="F63" s="16" t="s">
        <v>125</v>
      </c>
      <c r="G63" s="16" t="s">
        <v>126</v>
      </c>
      <c r="H63" s="12">
        <v>24.96</v>
      </c>
      <c r="I63" s="8">
        <v>26</v>
      </c>
      <c r="J63" s="8">
        <v>-108</v>
      </c>
      <c r="K63" s="13" t="s">
        <v>94</v>
      </c>
      <c r="M63" s="7">
        <f t="shared" si="2"/>
        <v>497.45</v>
      </c>
    </row>
    <row r="64" spans="1:13" ht="12.5" x14ac:dyDescent="0.25">
      <c r="A64" s="8">
        <v>62</v>
      </c>
      <c r="B64" s="9">
        <v>46263</v>
      </c>
      <c r="C64" s="10">
        <v>0.76373842592592589</v>
      </c>
      <c r="D64" s="8">
        <v>0</v>
      </c>
      <c r="E64" s="8">
        <v>0</v>
      </c>
      <c r="F64" s="16" t="s">
        <v>127</v>
      </c>
      <c r="G64" s="16" t="s">
        <v>128</v>
      </c>
      <c r="H64" s="12">
        <v>25.78</v>
      </c>
      <c r="I64" s="8">
        <v>26</v>
      </c>
      <c r="J64" s="8">
        <v>-112</v>
      </c>
      <c r="K64" s="13" t="s">
        <v>94</v>
      </c>
      <c r="M64" s="7">
        <f t="shared" si="2"/>
        <v>546.91999999999996</v>
      </c>
    </row>
    <row r="65" spans="1:14" ht="12.5" x14ac:dyDescent="0.25">
      <c r="A65" s="8">
        <v>63</v>
      </c>
      <c r="B65" s="9">
        <v>46263</v>
      </c>
      <c r="C65" s="10">
        <v>0.76379629629629631</v>
      </c>
      <c r="D65" s="8">
        <v>0</v>
      </c>
      <c r="E65" s="8">
        <v>0</v>
      </c>
      <c r="F65" s="16" t="s">
        <v>127</v>
      </c>
      <c r="G65" s="16" t="s">
        <v>129</v>
      </c>
      <c r="H65" s="12">
        <v>25.78</v>
      </c>
      <c r="I65" s="8">
        <v>26</v>
      </c>
      <c r="J65" s="8">
        <v>-115</v>
      </c>
      <c r="K65" s="13" t="s">
        <v>94</v>
      </c>
      <c r="M65" s="7">
        <f t="shared" si="2"/>
        <v>589.72</v>
      </c>
    </row>
    <row r="66" spans="1:14" ht="12.5" x14ac:dyDescent="0.25">
      <c r="A66" s="8">
        <v>64</v>
      </c>
      <c r="B66" s="9">
        <v>46263</v>
      </c>
      <c r="C66" s="10">
        <v>0.7638773148148148</v>
      </c>
      <c r="D66" s="8">
        <v>0</v>
      </c>
      <c r="E66" s="8">
        <v>0</v>
      </c>
      <c r="F66" s="16" t="s">
        <v>127</v>
      </c>
      <c r="G66" s="16" t="s">
        <v>130</v>
      </c>
      <c r="H66" s="12">
        <v>25.82</v>
      </c>
      <c r="I66" s="8">
        <v>26</v>
      </c>
      <c r="J66" s="8">
        <v>-115</v>
      </c>
      <c r="K66" s="13" t="s">
        <v>94</v>
      </c>
      <c r="M66" s="7">
        <f t="shared" si="2"/>
        <v>632.41</v>
      </c>
    </row>
    <row r="67" spans="1:14" ht="12.5" x14ac:dyDescent="0.25">
      <c r="A67" s="8">
        <v>65</v>
      </c>
      <c r="B67" s="9">
        <v>46263</v>
      </c>
      <c r="C67" s="10">
        <v>0.76393518518518522</v>
      </c>
      <c r="D67" s="8">
        <v>0</v>
      </c>
      <c r="E67" s="8">
        <v>0</v>
      </c>
      <c r="F67" s="16" t="s">
        <v>131</v>
      </c>
      <c r="G67" s="16" t="s">
        <v>132</v>
      </c>
      <c r="H67" s="12">
        <v>24.76</v>
      </c>
      <c r="I67" s="8">
        <v>26</v>
      </c>
      <c r="J67" s="8">
        <v>-113</v>
      </c>
      <c r="K67" s="13" t="s">
        <v>94</v>
      </c>
      <c r="M67" s="7">
        <f t="shared" si="2"/>
        <v>674.42</v>
      </c>
    </row>
    <row r="68" spans="1:14" ht="12.5" x14ac:dyDescent="0.25">
      <c r="A68" s="8">
        <v>66</v>
      </c>
      <c r="B68" s="9">
        <v>46263</v>
      </c>
      <c r="C68" s="10">
        <v>0.76401620370370371</v>
      </c>
      <c r="D68" s="8">
        <v>0</v>
      </c>
      <c r="E68" s="8">
        <v>0</v>
      </c>
      <c r="F68" s="11" t="s">
        <v>133</v>
      </c>
      <c r="G68" s="11" t="s">
        <v>134</v>
      </c>
      <c r="H68" s="12">
        <v>23.91</v>
      </c>
      <c r="I68" s="8">
        <v>26</v>
      </c>
      <c r="J68" s="8">
        <v>-111</v>
      </c>
      <c r="K68" s="13" t="s">
        <v>94</v>
      </c>
      <c r="M68" s="7">
        <f t="shared" si="2"/>
        <v>714.55</v>
      </c>
    </row>
    <row r="69" spans="1:14" ht="12.5" x14ac:dyDescent="0.25">
      <c r="A69" s="8">
        <v>67</v>
      </c>
      <c r="B69" s="9">
        <v>46263</v>
      </c>
      <c r="C69" s="10">
        <v>0.76408564814814817</v>
      </c>
      <c r="D69" s="8">
        <v>0</v>
      </c>
      <c r="E69" s="8">
        <v>0</v>
      </c>
      <c r="F69" s="11" t="s">
        <v>135</v>
      </c>
      <c r="G69" s="11" t="s">
        <v>136</v>
      </c>
      <c r="H69" s="12">
        <v>26.87</v>
      </c>
      <c r="I69" s="8">
        <v>26</v>
      </c>
      <c r="J69" s="8">
        <v>-118</v>
      </c>
      <c r="K69" s="13" t="s">
        <v>94</v>
      </c>
      <c r="M69" s="7">
        <f t="shared" si="2"/>
        <v>757.91</v>
      </c>
    </row>
    <row r="70" spans="1:14" ht="12.5" x14ac:dyDescent="0.25">
      <c r="A70" s="8">
        <v>68</v>
      </c>
      <c r="B70" s="9">
        <v>46263</v>
      </c>
      <c r="C70" s="10">
        <v>0.76415509259259262</v>
      </c>
      <c r="D70" s="8">
        <v>0</v>
      </c>
      <c r="E70" s="8">
        <v>0</v>
      </c>
      <c r="F70" s="11" t="s">
        <v>137</v>
      </c>
      <c r="G70" s="11" t="s">
        <v>138</v>
      </c>
      <c r="H70" s="12">
        <v>29</v>
      </c>
      <c r="I70" s="8">
        <v>26</v>
      </c>
      <c r="J70" s="8">
        <v>-118</v>
      </c>
      <c r="K70" s="13" t="s">
        <v>94</v>
      </c>
      <c r="M70" s="7">
        <f t="shared" si="2"/>
        <v>805.17</v>
      </c>
    </row>
    <row r="71" spans="1:14" ht="12.5" x14ac:dyDescent="0.25">
      <c r="A71" s="8">
        <v>69</v>
      </c>
      <c r="B71" s="9">
        <v>46263</v>
      </c>
      <c r="C71" s="10">
        <v>0.76422453703703708</v>
      </c>
      <c r="D71" s="8">
        <v>0</v>
      </c>
      <c r="E71" s="8">
        <v>0</v>
      </c>
      <c r="F71" s="11" t="s">
        <v>139</v>
      </c>
      <c r="G71" s="11" t="s">
        <v>140</v>
      </c>
      <c r="H71" s="12">
        <v>29.61</v>
      </c>
      <c r="I71" s="8">
        <v>26</v>
      </c>
      <c r="J71" s="8">
        <v>-120</v>
      </c>
      <c r="K71" s="13" t="s">
        <v>94</v>
      </c>
      <c r="M71" s="7">
        <f t="shared" si="2"/>
        <v>853.84</v>
      </c>
    </row>
    <row r="72" spans="1:14" ht="12.5" x14ac:dyDescent="0.25">
      <c r="A72" s="8">
        <v>70</v>
      </c>
      <c r="B72" s="9">
        <v>46263</v>
      </c>
      <c r="C72" s="10">
        <v>0.76431712962962961</v>
      </c>
      <c r="D72" s="8">
        <v>0</v>
      </c>
      <c r="E72" s="8">
        <v>0</v>
      </c>
      <c r="F72" s="11" t="s">
        <v>141</v>
      </c>
      <c r="G72" s="11" t="s">
        <v>142</v>
      </c>
      <c r="H72" s="12">
        <v>28.74</v>
      </c>
      <c r="I72" s="8">
        <v>26</v>
      </c>
      <c r="J72" s="8">
        <v>-120</v>
      </c>
      <c r="K72" s="13" t="s">
        <v>94</v>
      </c>
      <c r="M72" s="7">
        <f t="shared" si="2"/>
        <v>916.31</v>
      </c>
    </row>
    <row r="73" spans="1:14" ht="12.5" x14ac:dyDescent="0.25">
      <c r="A73" s="8">
        <v>71</v>
      </c>
      <c r="B73" s="9">
        <v>46263</v>
      </c>
      <c r="C73" s="10">
        <v>0.76440972222222225</v>
      </c>
      <c r="D73" s="8">
        <v>0</v>
      </c>
      <c r="E73" s="8">
        <v>0</v>
      </c>
      <c r="F73" s="11" t="s">
        <v>143</v>
      </c>
      <c r="G73" s="11" t="s">
        <v>144</v>
      </c>
      <c r="H73" s="12">
        <v>13.78</v>
      </c>
      <c r="I73" s="8">
        <v>26</v>
      </c>
      <c r="J73" s="8">
        <v>-115</v>
      </c>
      <c r="K73" s="13" t="s">
        <v>94</v>
      </c>
      <c r="M73" s="7">
        <f t="shared" si="2"/>
        <v>963.51</v>
      </c>
    </row>
    <row r="74" spans="1:14" ht="12.5" x14ac:dyDescent="0.25">
      <c r="A74" s="8">
        <v>72</v>
      </c>
      <c r="B74" s="9">
        <v>46263</v>
      </c>
      <c r="C74" s="10">
        <v>0.76468749999999996</v>
      </c>
      <c r="D74" s="8">
        <v>0</v>
      </c>
      <c r="E74" s="8">
        <v>0</v>
      </c>
      <c r="F74" s="11" t="s">
        <v>145</v>
      </c>
      <c r="G74" s="11" t="s">
        <v>146</v>
      </c>
      <c r="H74" s="12">
        <v>23.67</v>
      </c>
      <c r="I74" s="8">
        <v>26</v>
      </c>
      <c r="J74" s="8">
        <v>-119</v>
      </c>
      <c r="K74" s="13" t="s">
        <v>94</v>
      </c>
      <c r="M74" s="7">
        <f t="shared" si="2"/>
        <v>1068.5999999999999</v>
      </c>
    </row>
    <row r="75" spans="1:14" ht="12.5" x14ac:dyDescent="0.25">
      <c r="A75" s="8"/>
      <c r="B75" s="9"/>
      <c r="C75" s="10"/>
      <c r="D75" s="8"/>
      <c r="E75" s="8"/>
      <c r="F75" s="13"/>
      <c r="G75" s="13"/>
      <c r="H75" s="12"/>
      <c r="I75" s="8"/>
      <c r="J75" s="8"/>
      <c r="K75" s="13"/>
    </row>
    <row r="76" spans="1:14" ht="12.5" x14ac:dyDescent="0.25">
      <c r="A76" s="8">
        <v>73</v>
      </c>
      <c r="B76" s="9">
        <v>46264</v>
      </c>
      <c r="C76" s="10">
        <v>0.64311342592592591</v>
      </c>
      <c r="D76" s="8">
        <v>82</v>
      </c>
      <c r="E76" s="8">
        <v>99</v>
      </c>
      <c r="F76" s="11" t="s">
        <v>147</v>
      </c>
      <c r="G76" s="11" t="s">
        <v>148</v>
      </c>
      <c r="H76" s="12">
        <v>1.8</v>
      </c>
      <c r="I76" s="8">
        <v>8</v>
      </c>
      <c r="J76" s="8">
        <v>-55</v>
      </c>
      <c r="K76" s="13" t="s">
        <v>13</v>
      </c>
      <c r="N76" s="7">
        <f>ROUND((C76-$C$76)*1440,2)</f>
        <v>0</v>
      </c>
    </row>
    <row r="77" spans="1:14" ht="12.5" x14ac:dyDescent="0.25">
      <c r="A77" s="8">
        <v>74</v>
      </c>
      <c r="B77" s="9">
        <v>46264</v>
      </c>
      <c r="C77" s="10">
        <v>0.64320601851851855</v>
      </c>
      <c r="D77" s="8">
        <v>82</v>
      </c>
      <c r="E77" s="8">
        <v>99</v>
      </c>
      <c r="F77" s="11" t="s">
        <v>147</v>
      </c>
      <c r="G77" s="11" t="s">
        <v>148</v>
      </c>
      <c r="H77" s="12">
        <v>1.81</v>
      </c>
      <c r="I77" s="8">
        <v>8</v>
      </c>
      <c r="J77" s="8">
        <v>-38</v>
      </c>
      <c r="K77" s="13" t="s">
        <v>13</v>
      </c>
      <c r="N77" s="7">
        <f t="shared" ref="N77:N115" si="3">ROUND((C77-$C$76)*1440,2)</f>
        <v>0.13</v>
      </c>
    </row>
    <row r="78" spans="1:14" ht="12.5" x14ac:dyDescent="0.25">
      <c r="A78" s="8">
        <v>75</v>
      </c>
      <c r="B78" s="9">
        <v>46264</v>
      </c>
      <c r="C78" s="10">
        <v>0.64331018518518523</v>
      </c>
      <c r="D78" s="8">
        <v>82</v>
      </c>
      <c r="E78" s="8">
        <v>99</v>
      </c>
      <c r="F78" s="11" t="s">
        <v>147</v>
      </c>
      <c r="G78" s="11" t="s">
        <v>148</v>
      </c>
      <c r="H78" s="12">
        <v>1.83</v>
      </c>
      <c r="I78" s="8">
        <v>9</v>
      </c>
      <c r="J78" s="8">
        <v>-38</v>
      </c>
      <c r="K78" s="13" t="s">
        <v>13</v>
      </c>
      <c r="N78" s="7">
        <f t="shared" si="3"/>
        <v>0.28000000000000003</v>
      </c>
    </row>
    <row r="79" spans="1:14" ht="12.5" x14ac:dyDescent="0.25">
      <c r="A79" s="8">
        <v>76</v>
      </c>
      <c r="B79" s="9">
        <v>46264</v>
      </c>
      <c r="C79" s="10">
        <v>0.64341435185185181</v>
      </c>
      <c r="D79" s="8">
        <v>82</v>
      </c>
      <c r="E79" s="8">
        <v>99</v>
      </c>
      <c r="F79" s="11" t="s">
        <v>147</v>
      </c>
      <c r="G79" s="11" t="s">
        <v>148</v>
      </c>
      <c r="H79" s="12">
        <v>1.5</v>
      </c>
      <c r="I79" s="8">
        <v>9</v>
      </c>
      <c r="J79" s="8">
        <v>-46</v>
      </c>
      <c r="K79" s="13" t="s">
        <v>13</v>
      </c>
      <c r="N79" s="7">
        <f t="shared" si="3"/>
        <v>0.43</v>
      </c>
    </row>
    <row r="80" spans="1:14" ht="12.5" x14ac:dyDescent="0.25">
      <c r="A80" s="8">
        <v>77</v>
      </c>
      <c r="B80" s="9">
        <v>46264</v>
      </c>
      <c r="C80" s="10">
        <v>0.64350694444444445</v>
      </c>
      <c r="D80" s="8">
        <v>82</v>
      </c>
      <c r="E80" s="8">
        <v>99</v>
      </c>
      <c r="F80" s="11" t="s">
        <v>147</v>
      </c>
      <c r="G80" s="11" t="s">
        <v>148</v>
      </c>
      <c r="H80" s="12">
        <v>1.63</v>
      </c>
      <c r="I80" s="8">
        <v>9</v>
      </c>
      <c r="J80" s="8">
        <v>-58</v>
      </c>
      <c r="K80" s="13" t="s">
        <v>13</v>
      </c>
      <c r="N80" s="7">
        <f t="shared" si="3"/>
        <v>0.56999999999999995</v>
      </c>
    </row>
    <row r="81" spans="1:14" ht="12.5" x14ac:dyDescent="0.25">
      <c r="A81" s="8">
        <v>78</v>
      </c>
      <c r="B81" s="9">
        <v>46264</v>
      </c>
      <c r="C81" s="10">
        <v>0.64361111111111113</v>
      </c>
      <c r="D81" s="8">
        <v>82</v>
      </c>
      <c r="E81" s="8">
        <v>99</v>
      </c>
      <c r="F81" s="11" t="s">
        <v>147</v>
      </c>
      <c r="G81" s="11" t="s">
        <v>148</v>
      </c>
      <c r="H81" s="12">
        <v>1.52</v>
      </c>
      <c r="I81" s="8">
        <v>9</v>
      </c>
      <c r="J81" s="8">
        <v>-68</v>
      </c>
      <c r="K81" s="13" t="s">
        <v>13</v>
      </c>
      <c r="N81" s="7">
        <f t="shared" si="3"/>
        <v>0.72</v>
      </c>
    </row>
    <row r="82" spans="1:14" ht="12.5" x14ac:dyDescent="0.25">
      <c r="A82" s="8">
        <v>79</v>
      </c>
      <c r="B82" s="9">
        <v>46264</v>
      </c>
      <c r="C82" s="10">
        <v>0.64371527777777782</v>
      </c>
      <c r="D82" s="8">
        <v>82</v>
      </c>
      <c r="E82" s="8">
        <v>99</v>
      </c>
      <c r="F82" s="11" t="s">
        <v>147</v>
      </c>
      <c r="G82" s="11" t="s">
        <v>148</v>
      </c>
      <c r="H82" s="12">
        <v>1.87</v>
      </c>
      <c r="I82" s="8">
        <v>9</v>
      </c>
      <c r="J82" s="8">
        <v>-67</v>
      </c>
      <c r="K82" s="13" t="s">
        <v>13</v>
      </c>
      <c r="N82" s="7">
        <f t="shared" si="3"/>
        <v>0.87</v>
      </c>
    </row>
    <row r="83" spans="1:14" ht="12.5" x14ac:dyDescent="0.25">
      <c r="A83" s="8">
        <v>80</v>
      </c>
      <c r="B83" s="9">
        <v>46264</v>
      </c>
      <c r="C83" s="10">
        <v>0.6438194444444445</v>
      </c>
      <c r="D83" s="8">
        <v>82</v>
      </c>
      <c r="E83" s="8">
        <v>99</v>
      </c>
      <c r="F83" s="11" t="s">
        <v>147</v>
      </c>
      <c r="G83" s="11" t="s">
        <v>148</v>
      </c>
      <c r="H83" s="12">
        <v>1.76</v>
      </c>
      <c r="I83" s="8">
        <v>9</v>
      </c>
      <c r="J83" s="8">
        <v>-53</v>
      </c>
      <c r="K83" s="13" t="s">
        <v>13</v>
      </c>
      <c r="N83" s="7">
        <f t="shared" si="3"/>
        <v>1.02</v>
      </c>
    </row>
    <row r="84" spans="1:14" ht="12.5" x14ac:dyDescent="0.25">
      <c r="A84" s="8">
        <v>81</v>
      </c>
      <c r="B84" s="9">
        <v>46264</v>
      </c>
      <c r="C84" s="10">
        <v>0.64391203703703703</v>
      </c>
      <c r="D84" s="8">
        <v>82</v>
      </c>
      <c r="E84" s="8">
        <v>99</v>
      </c>
      <c r="F84" s="11" t="s">
        <v>147</v>
      </c>
      <c r="G84" s="11" t="s">
        <v>148</v>
      </c>
      <c r="H84" s="12">
        <v>1.62</v>
      </c>
      <c r="I84" s="8">
        <v>9</v>
      </c>
      <c r="J84" s="8">
        <v>-68</v>
      </c>
      <c r="K84" s="13" t="s">
        <v>13</v>
      </c>
      <c r="N84" s="7">
        <f t="shared" si="3"/>
        <v>1.1499999999999999</v>
      </c>
    </row>
    <row r="85" spans="1:14" ht="12.5" x14ac:dyDescent="0.25">
      <c r="A85" s="8">
        <v>82</v>
      </c>
      <c r="B85" s="9">
        <v>46264</v>
      </c>
      <c r="C85" s="10">
        <v>0.64401620370370372</v>
      </c>
      <c r="D85" s="8">
        <v>82</v>
      </c>
      <c r="E85" s="8">
        <v>99</v>
      </c>
      <c r="F85" s="11" t="s">
        <v>147</v>
      </c>
      <c r="G85" s="11" t="s">
        <v>148</v>
      </c>
      <c r="H85" s="12">
        <v>1.49</v>
      </c>
      <c r="I85" s="8">
        <v>9</v>
      </c>
      <c r="J85" s="8">
        <v>-68</v>
      </c>
      <c r="K85" s="13" t="s">
        <v>13</v>
      </c>
      <c r="N85" s="7">
        <f t="shared" si="3"/>
        <v>1.3</v>
      </c>
    </row>
    <row r="86" spans="1:14" ht="12.5" x14ac:dyDescent="0.25">
      <c r="A86" s="8">
        <v>83</v>
      </c>
      <c r="B86" s="9">
        <v>46264</v>
      </c>
      <c r="C86" s="10">
        <v>0.6441203703703704</v>
      </c>
      <c r="D86" s="8">
        <v>82</v>
      </c>
      <c r="E86" s="8">
        <v>99</v>
      </c>
      <c r="F86" s="11" t="s">
        <v>149</v>
      </c>
      <c r="G86" s="11" t="s">
        <v>150</v>
      </c>
      <c r="H86" s="12">
        <v>1.61</v>
      </c>
      <c r="I86" s="8">
        <v>8</v>
      </c>
      <c r="J86" s="8">
        <v>-42</v>
      </c>
      <c r="K86" s="13" t="s">
        <v>13</v>
      </c>
      <c r="N86" s="7">
        <f t="shared" si="3"/>
        <v>1.45</v>
      </c>
    </row>
    <row r="87" spans="1:14" ht="12.5" x14ac:dyDescent="0.25">
      <c r="A87" s="8">
        <v>84</v>
      </c>
      <c r="B87" s="9">
        <v>46264</v>
      </c>
      <c r="C87" s="10">
        <v>0.64421296296296293</v>
      </c>
      <c r="D87" s="8">
        <v>82</v>
      </c>
      <c r="E87" s="8">
        <v>99</v>
      </c>
      <c r="F87" s="11" t="s">
        <v>149</v>
      </c>
      <c r="G87" s="11" t="s">
        <v>150</v>
      </c>
      <c r="H87" s="12">
        <v>1.62</v>
      </c>
      <c r="I87" s="8">
        <v>9</v>
      </c>
      <c r="J87" s="8">
        <v>-47</v>
      </c>
      <c r="K87" s="13" t="s">
        <v>13</v>
      </c>
      <c r="N87" s="7">
        <f t="shared" si="3"/>
        <v>1.58</v>
      </c>
    </row>
    <row r="88" spans="1:14" ht="12.5" x14ac:dyDescent="0.25">
      <c r="A88" s="8">
        <v>85</v>
      </c>
      <c r="B88" s="9">
        <v>46264</v>
      </c>
      <c r="C88" s="10">
        <v>0.64431712962962961</v>
      </c>
      <c r="D88" s="8">
        <v>15</v>
      </c>
      <c r="E88" s="8">
        <v>99</v>
      </c>
      <c r="F88" s="11" t="s">
        <v>149</v>
      </c>
      <c r="G88" s="11" t="s">
        <v>150</v>
      </c>
      <c r="H88" s="12">
        <v>1.81</v>
      </c>
      <c r="I88" s="8">
        <v>9</v>
      </c>
      <c r="J88" s="8">
        <v>-38</v>
      </c>
      <c r="K88" s="13" t="s">
        <v>151</v>
      </c>
      <c r="N88" s="7">
        <f t="shared" si="3"/>
        <v>1.73</v>
      </c>
    </row>
    <row r="89" spans="1:14" ht="12.5" x14ac:dyDescent="0.25">
      <c r="A89" s="8">
        <v>86</v>
      </c>
      <c r="B89" s="9">
        <v>46264</v>
      </c>
      <c r="C89" s="10">
        <v>0.6444212962962963</v>
      </c>
      <c r="D89" s="8">
        <v>7</v>
      </c>
      <c r="E89" s="8">
        <v>99</v>
      </c>
      <c r="F89" s="11" t="s">
        <v>152</v>
      </c>
      <c r="G89" s="11" t="s">
        <v>153</v>
      </c>
      <c r="H89" s="12">
        <v>1.77</v>
      </c>
      <c r="I89" s="8">
        <v>8</v>
      </c>
      <c r="J89" s="8">
        <v>-37</v>
      </c>
      <c r="K89" s="13" t="s">
        <v>151</v>
      </c>
      <c r="N89" s="7">
        <f t="shared" si="3"/>
        <v>1.88</v>
      </c>
    </row>
    <row r="90" spans="1:14" ht="12.5" x14ac:dyDescent="0.25">
      <c r="A90" s="8">
        <v>87</v>
      </c>
      <c r="B90" s="9">
        <v>46264</v>
      </c>
      <c r="C90" s="10">
        <v>0.64452546296296298</v>
      </c>
      <c r="D90" s="8">
        <v>0</v>
      </c>
      <c r="E90" s="8">
        <v>99</v>
      </c>
      <c r="F90" s="11" t="s">
        <v>154</v>
      </c>
      <c r="G90" s="11" t="s">
        <v>155</v>
      </c>
      <c r="H90" s="12">
        <v>1.89</v>
      </c>
      <c r="I90" s="8">
        <v>9</v>
      </c>
      <c r="J90" s="8">
        <v>-69</v>
      </c>
      <c r="K90" s="13" t="s">
        <v>151</v>
      </c>
      <c r="N90" s="7">
        <f>ROUND((C90-$C$76)*1440,2)</f>
        <v>2.0299999999999998</v>
      </c>
    </row>
    <row r="91" spans="1:14" ht="12.5" x14ac:dyDescent="0.25">
      <c r="A91" s="8">
        <v>88</v>
      </c>
      <c r="B91" s="9">
        <v>46264</v>
      </c>
      <c r="C91" s="10">
        <v>0.64461805555555551</v>
      </c>
      <c r="D91" s="8">
        <v>0</v>
      </c>
      <c r="E91" s="8">
        <v>98</v>
      </c>
      <c r="F91" s="11" t="s">
        <v>156</v>
      </c>
      <c r="G91" s="11" t="s">
        <v>157</v>
      </c>
      <c r="H91" s="12">
        <v>1.69</v>
      </c>
      <c r="I91" s="8">
        <v>8</v>
      </c>
      <c r="J91" s="8">
        <v>-51</v>
      </c>
      <c r="K91" s="13" t="s">
        <v>151</v>
      </c>
      <c r="N91" s="7">
        <f t="shared" si="3"/>
        <v>2.17</v>
      </c>
    </row>
    <row r="92" spans="1:14" ht="12.5" x14ac:dyDescent="0.25">
      <c r="A92" s="8">
        <v>89</v>
      </c>
      <c r="B92" s="9">
        <v>46264</v>
      </c>
      <c r="C92" s="10">
        <v>0.6447222222222222</v>
      </c>
      <c r="D92" s="8">
        <v>2</v>
      </c>
      <c r="E92" s="8">
        <v>99</v>
      </c>
      <c r="F92" s="11" t="s">
        <v>158</v>
      </c>
      <c r="G92" s="11" t="s">
        <v>159</v>
      </c>
      <c r="H92" s="12">
        <v>1.52</v>
      </c>
      <c r="I92" s="8">
        <v>8</v>
      </c>
      <c r="J92" s="8">
        <v>-68</v>
      </c>
      <c r="K92" s="13" t="s">
        <v>151</v>
      </c>
      <c r="N92" s="7">
        <f t="shared" si="3"/>
        <v>2.3199999999999998</v>
      </c>
    </row>
    <row r="93" spans="1:14" ht="12.5" x14ac:dyDescent="0.25">
      <c r="A93" s="8">
        <v>90</v>
      </c>
      <c r="B93" s="9">
        <v>46264</v>
      </c>
      <c r="C93" s="10">
        <v>0.64482638888888888</v>
      </c>
      <c r="D93" s="8">
        <v>2</v>
      </c>
      <c r="E93" s="8">
        <v>98</v>
      </c>
      <c r="F93" s="11" t="s">
        <v>160</v>
      </c>
      <c r="G93" s="11" t="s">
        <v>161</v>
      </c>
      <c r="H93" s="12">
        <v>1.8</v>
      </c>
      <c r="I93" s="8">
        <v>9</v>
      </c>
      <c r="J93" s="8">
        <v>-44</v>
      </c>
      <c r="K93" s="13" t="s">
        <v>151</v>
      </c>
      <c r="N93" s="7">
        <f t="shared" si="3"/>
        <v>2.4700000000000002</v>
      </c>
    </row>
    <row r="94" spans="1:14" ht="12.5" x14ac:dyDescent="0.25">
      <c r="A94" s="8">
        <v>91</v>
      </c>
      <c r="B94" s="9">
        <v>46264</v>
      </c>
      <c r="C94" s="10">
        <v>0.64491898148148152</v>
      </c>
      <c r="D94" s="8">
        <v>0</v>
      </c>
      <c r="E94" s="8">
        <v>99</v>
      </c>
      <c r="F94" s="11" t="s">
        <v>162</v>
      </c>
      <c r="G94" s="11" t="s">
        <v>163</v>
      </c>
      <c r="H94" s="12">
        <v>1.83</v>
      </c>
      <c r="I94" s="8">
        <v>8</v>
      </c>
      <c r="J94" s="8">
        <v>-38</v>
      </c>
      <c r="K94" s="13" t="s">
        <v>151</v>
      </c>
      <c r="N94" s="7">
        <f t="shared" si="3"/>
        <v>2.6</v>
      </c>
    </row>
    <row r="95" spans="1:14" ht="12.5" x14ac:dyDescent="0.25">
      <c r="A95" s="8">
        <v>92</v>
      </c>
      <c r="B95" s="9">
        <v>46264</v>
      </c>
      <c r="C95" s="10">
        <v>0.6450231481481481</v>
      </c>
      <c r="D95" s="8">
        <v>12</v>
      </c>
      <c r="E95" s="8">
        <v>98</v>
      </c>
      <c r="F95" s="11" t="s">
        <v>164</v>
      </c>
      <c r="G95" s="11" t="s">
        <v>165</v>
      </c>
      <c r="H95" s="12">
        <v>1.73</v>
      </c>
      <c r="I95" s="8">
        <v>8</v>
      </c>
      <c r="J95" s="8">
        <v>-64</v>
      </c>
      <c r="K95" s="13" t="s">
        <v>151</v>
      </c>
      <c r="N95" s="7">
        <f t="shared" si="3"/>
        <v>2.75</v>
      </c>
    </row>
    <row r="96" spans="1:14" ht="12.5" x14ac:dyDescent="0.25">
      <c r="A96" s="8">
        <v>93</v>
      </c>
      <c r="B96" s="9">
        <v>46264</v>
      </c>
      <c r="C96" s="10">
        <v>0.64512731481481478</v>
      </c>
      <c r="D96" s="8">
        <v>10</v>
      </c>
      <c r="E96" s="8">
        <v>98</v>
      </c>
      <c r="F96" s="11" t="s">
        <v>166</v>
      </c>
      <c r="G96" s="11" t="s">
        <v>167</v>
      </c>
      <c r="H96" s="12">
        <v>1.83</v>
      </c>
      <c r="I96" s="8">
        <v>8</v>
      </c>
      <c r="J96" s="8">
        <v>-38</v>
      </c>
      <c r="K96" s="13" t="s">
        <v>151</v>
      </c>
      <c r="N96" s="7">
        <f>ROUND((C96-$C$76)*1440,2)</f>
        <v>2.9</v>
      </c>
    </row>
    <row r="97" spans="1:14" ht="12.5" x14ac:dyDescent="0.25">
      <c r="A97" s="8">
        <v>94</v>
      </c>
      <c r="B97" s="9">
        <v>46264</v>
      </c>
      <c r="C97" s="10">
        <v>0.64523148148148146</v>
      </c>
      <c r="D97" s="8">
        <v>15</v>
      </c>
      <c r="E97" s="8">
        <v>99</v>
      </c>
      <c r="F97" s="11" t="s">
        <v>168</v>
      </c>
      <c r="G97" s="11" t="s">
        <v>169</v>
      </c>
      <c r="H97" s="12">
        <v>1.7</v>
      </c>
      <c r="I97" s="8">
        <v>8</v>
      </c>
      <c r="J97" s="8">
        <v>-66</v>
      </c>
      <c r="K97" s="13" t="s">
        <v>151</v>
      </c>
      <c r="N97" s="7">
        <f t="shared" si="3"/>
        <v>3.05</v>
      </c>
    </row>
    <row r="98" spans="1:14" ht="12.5" x14ac:dyDescent="0.25">
      <c r="A98" s="8">
        <v>95</v>
      </c>
      <c r="B98" s="9">
        <v>46264</v>
      </c>
      <c r="C98" s="10">
        <v>0.64532407407407411</v>
      </c>
      <c r="D98" s="8">
        <v>19</v>
      </c>
      <c r="E98" s="8">
        <v>99</v>
      </c>
      <c r="F98" s="11" t="s">
        <v>168</v>
      </c>
      <c r="G98" s="11" t="s">
        <v>169</v>
      </c>
      <c r="H98" s="12">
        <v>1.71</v>
      </c>
      <c r="I98" s="8">
        <v>9</v>
      </c>
      <c r="J98" s="8">
        <v>-59</v>
      </c>
      <c r="K98" s="13" t="s">
        <v>151</v>
      </c>
      <c r="N98" s="7">
        <f t="shared" si="3"/>
        <v>3.18</v>
      </c>
    </row>
    <row r="99" spans="1:14" ht="12.5" x14ac:dyDescent="0.25">
      <c r="A99" s="8">
        <v>96</v>
      </c>
      <c r="B99" s="9">
        <v>46264</v>
      </c>
      <c r="C99" s="10">
        <v>0.64542824074074079</v>
      </c>
      <c r="D99" s="8">
        <v>3</v>
      </c>
      <c r="E99" s="8">
        <v>99</v>
      </c>
      <c r="F99" s="11" t="s">
        <v>170</v>
      </c>
      <c r="G99" s="11" t="s">
        <v>169</v>
      </c>
      <c r="H99" s="12">
        <v>1.67</v>
      </c>
      <c r="I99" s="8">
        <v>8</v>
      </c>
      <c r="J99" s="8">
        <v>-53</v>
      </c>
      <c r="K99" s="13" t="s">
        <v>151</v>
      </c>
      <c r="N99" s="7">
        <f t="shared" si="3"/>
        <v>3.33</v>
      </c>
    </row>
    <row r="100" spans="1:14" ht="12.5" x14ac:dyDescent="0.25">
      <c r="A100" s="8">
        <v>97</v>
      </c>
      <c r="B100" s="9">
        <v>46264</v>
      </c>
      <c r="C100" s="10">
        <v>0.64553240740740736</v>
      </c>
      <c r="D100" s="8">
        <v>9</v>
      </c>
      <c r="E100" s="8">
        <v>98</v>
      </c>
      <c r="F100" s="11" t="s">
        <v>170</v>
      </c>
      <c r="G100" s="11" t="s">
        <v>171</v>
      </c>
      <c r="H100" s="12">
        <v>1.47</v>
      </c>
      <c r="I100" s="8">
        <v>9</v>
      </c>
      <c r="J100" s="8">
        <v>-46</v>
      </c>
      <c r="K100" s="13" t="s">
        <v>151</v>
      </c>
      <c r="N100" s="7">
        <f t="shared" si="3"/>
        <v>3.48</v>
      </c>
    </row>
    <row r="101" spans="1:14" ht="12.5" x14ac:dyDescent="0.25">
      <c r="A101" s="8">
        <v>98</v>
      </c>
      <c r="B101" s="9">
        <v>46264</v>
      </c>
      <c r="C101" s="10">
        <v>0.645625</v>
      </c>
      <c r="D101" s="8">
        <v>14</v>
      </c>
      <c r="E101" s="8">
        <v>99</v>
      </c>
      <c r="F101" s="11" t="s">
        <v>170</v>
      </c>
      <c r="G101" s="11" t="s">
        <v>171</v>
      </c>
      <c r="H101" s="12">
        <v>1.51</v>
      </c>
      <c r="I101" s="8">
        <v>8</v>
      </c>
      <c r="J101" s="8">
        <v>-65</v>
      </c>
      <c r="K101" s="13" t="s">
        <v>151</v>
      </c>
      <c r="N101" s="7">
        <f t="shared" si="3"/>
        <v>3.62</v>
      </c>
    </row>
    <row r="102" spans="1:14" ht="12.5" x14ac:dyDescent="0.25">
      <c r="A102" s="8">
        <v>99</v>
      </c>
      <c r="B102" s="9">
        <v>46264</v>
      </c>
      <c r="C102" s="10">
        <v>0.64572916666666669</v>
      </c>
      <c r="D102" s="8">
        <v>0</v>
      </c>
      <c r="E102" s="8">
        <v>98</v>
      </c>
      <c r="F102" s="11" t="s">
        <v>170</v>
      </c>
      <c r="G102" s="11" t="s">
        <v>172</v>
      </c>
      <c r="H102" s="12">
        <v>1.48</v>
      </c>
      <c r="I102" s="8">
        <v>8</v>
      </c>
      <c r="J102" s="8">
        <v>-36</v>
      </c>
      <c r="K102" s="13" t="s">
        <v>151</v>
      </c>
      <c r="N102" s="7">
        <f t="shared" si="3"/>
        <v>3.77</v>
      </c>
    </row>
    <row r="103" spans="1:14" ht="12.5" x14ac:dyDescent="0.25">
      <c r="A103" s="8">
        <v>100</v>
      </c>
      <c r="B103" s="9">
        <v>46264</v>
      </c>
      <c r="C103" s="10">
        <v>0.64583333333333337</v>
      </c>
      <c r="D103" s="8">
        <v>15</v>
      </c>
      <c r="E103" s="8">
        <v>99</v>
      </c>
      <c r="F103" s="11" t="s">
        <v>170</v>
      </c>
      <c r="G103" s="11" t="s">
        <v>172</v>
      </c>
      <c r="H103" s="12">
        <v>1.77</v>
      </c>
      <c r="I103" s="8">
        <v>8</v>
      </c>
      <c r="J103" s="8">
        <v>-64</v>
      </c>
      <c r="K103" s="13" t="s">
        <v>151</v>
      </c>
      <c r="N103" s="7">
        <f>ROUND((C103-$C$76)*1440,2)</f>
        <v>3.92</v>
      </c>
    </row>
    <row r="104" spans="1:14" ht="12.5" x14ac:dyDescent="0.25">
      <c r="A104" s="8">
        <v>101</v>
      </c>
      <c r="B104" s="9">
        <v>46264</v>
      </c>
      <c r="C104" s="10">
        <v>0.64593750000000005</v>
      </c>
      <c r="D104" s="8">
        <v>8</v>
      </c>
      <c r="E104" s="8">
        <v>98</v>
      </c>
      <c r="F104" s="11" t="s">
        <v>170</v>
      </c>
      <c r="G104" s="11" t="s">
        <v>173</v>
      </c>
      <c r="H104" s="12">
        <v>1.61</v>
      </c>
      <c r="I104" s="8">
        <v>8</v>
      </c>
      <c r="J104" s="8">
        <v>-48</v>
      </c>
      <c r="K104" s="13" t="s">
        <v>151</v>
      </c>
      <c r="N104" s="7">
        <f t="shared" si="3"/>
        <v>4.07</v>
      </c>
    </row>
    <row r="105" spans="1:14" ht="12.5" x14ac:dyDescent="0.25">
      <c r="A105" s="8">
        <v>102</v>
      </c>
      <c r="B105" s="9">
        <v>46264</v>
      </c>
      <c r="C105" s="10">
        <v>0.64603009259259259</v>
      </c>
      <c r="D105" s="8">
        <v>4</v>
      </c>
      <c r="E105" s="8">
        <v>98</v>
      </c>
      <c r="F105" s="11" t="s">
        <v>170</v>
      </c>
      <c r="G105" s="11" t="s">
        <v>173</v>
      </c>
      <c r="H105" s="12">
        <v>1.7</v>
      </c>
      <c r="I105" s="8">
        <v>9</v>
      </c>
      <c r="J105" s="8">
        <v>-59</v>
      </c>
      <c r="K105" s="13" t="s">
        <v>151</v>
      </c>
      <c r="N105" s="7">
        <f t="shared" si="3"/>
        <v>4.2</v>
      </c>
    </row>
    <row r="106" spans="1:14" ht="12.5" x14ac:dyDescent="0.25">
      <c r="A106" s="8">
        <v>103</v>
      </c>
      <c r="B106" s="9">
        <v>46264</v>
      </c>
      <c r="C106" s="10">
        <v>0.64613425925925927</v>
      </c>
      <c r="D106" s="8">
        <v>6</v>
      </c>
      <c r="E106" s="8">
        <v>98</v>
      </c>
      <c r="F106" s="11" t="s">
        <v>170</v>
      </c>
      <c r="G106" s="11" t="s">
        <v>174</v>
      </c>
      <c r="H106" s="12">
        <v>1.9</v>
      </c>
      <c r="I106" s="8">
        <v>9</v>
      </c>
      <c r="J106" s="8">
        <v>-54</v>
      </c>
      <c r="K106" s="13" t="s">
        <v>151</v>
      </c>
      <c r="N106" s="7">
        <f t="shared" si="3"/>
        <v>4.3499999999999996</v>
      </c>
    </row>
    <row r="107" spans="1:14" ht="12.5" x14ac:dyDescent="0.25">
      <c r="A107" s="8">
        <v>104</v>
      </c>
      <c r="B107" s="9">
        <v>46264</v>
      </c>
      <c r="C107" s="10">
        <v>0.64623842592592595</v>
      </c>
      <c r="D107" s="8">
        <v>18</v>
      </c>
      <c r="E107" s="8">
        <v>99</v>
      </c>
      <c r="F107" s="11" t="s">
        <v>175</v>
      </c>
      <c r="G107" s="11" t="s">
        <v>174</v>
      </c>
      <c r="H107" s="12">
        <v>1.58</v>
      </c>
      <c r="I107" s="8">
        <v>8</v>
      </c>
      <c r="J107" s="8">
        <v>-37</v>
      </c>
      <c r="K107" s="13" t="s">
        <v>151</v>
      </c>
      <c r="N107" s="7">
        <f t="shared" si="3"/>
        <v>4.5</v>
      </c>
    </row>
    <row r="108" spans="1:14" ht="12.5" x14ac:dyDescent="0.25">
      <c r="A108" s="8">
        <v>105</v>
      </c>
      <c r="B108" s="9">
        <v>46264</v>
      </c>
      <c r="C108" s="10">
        <v>0.64633101851851849</v>
      </c>
      <c r="D108" s="8">
        <v>4</v>
      </c>
      <c r="E108" s="8">
        <v>99</v>
      </c>
      <c r="F108" s="11" t="s">
        <v>175</v>
      </c>
      <c r="G108" s="11" t="s">
        <v>148</v>
      </c>
      <c r="H108" s="12">
        <v>1.66</v>
      </c>
      <c r="I108" s="8">
        <v>8</v>
      </c>
      <c r="J108" s="8">
        <v>-61</v>
      </c>
      <c r="K108" s="13" t="s">
        <v>151</v>
      </c>
      <c r="N108" s="7">
        <f t="shared" si="3"/>
        <v>4.63</v>
      </c>
    </row>
    <row r="109" spans="1:14" ht="12.5" x14ac:dyDescent="0.25">
      <c r="A109" s="8">
        <v>106</v>
      </c>
      <c r="B109" s="9">
        <v>46264</v>
      </c>
      <c r="C109" s="10">
        <v>0.64643518518518517</v>
      </c>
      <c r="D109" s="8">
        <v>8</v>
      </c>
      <c r="E109" s="8">
        <v>99</v>
      </c>
      <c r="F109" s="11" t="s">
        <v>175</v>
      </c>
      <c r="G109" s="11" t="s">
        <v>148</v>
      </c>
      <c r="H109" s="12">
        <v>1.82</v>
      </c>
      <c r="I109" s="8">
        <v>9</v>
      </c>
      <c r="J109" s="8">
        <v>-64</v>
      </c>
      <c r="K109" s="13" t="s">
        <v>151</v>
      </c>
      <c r="N109" s="7">
        <f t="shared" si="3"/>
        <v>4.78</v>
      </c>
    </row>
    <row r="110" spans="1:14" ht="12.5" x14ac:dyDescent="0.25">
      <c r="A110" s="8">
        <v>107</v>
      </c>
      <c r="B110" s="9">
        <v>46264</v>
      </c>
      <c r="C110" s="10">
        <v>0.64653935185185185</v>
      </c>
      <c r="D110" s="8">
        <v>8</v>
      </c>
      <c r="E110" s="8">
        <v>99</v>
      </c>
      <c r="F110" s="11" t="s">
        <v>175</v>
      </c>
      <c r="G110" s="11" t="s">
        <v>176</v>
      </c>
      <c r="H110" s="12">
        <v>1.57</v>
      </c>
      <c r="I110" s="8">
        <v>8</v>
      </c>
      <c r="J110" s="8">
        <v>-54</v>
      </c>
      <c r="K110" s="13" t="s">
        <v>151</v>
      </c>
      <c r="N110" s="7">
        <f t="shared" si="3"/>
        <v>4.93</v>
      </c>
    </row>
    <row r="111" spans="1:14" ht="12.5" x14ac:dyDescent="0.25">
      <c r="A111" s="8">
        <v>108</v>
      </c>
      <c r="B111" s="9">
        <v>46264</v>
      </c>
      <c r="C111" s="10">
        <v>0.64664351851851853</v>
      </c>
      <c r="D111" s="8">
        <v>15</v>
      </c>
      <c r="E111" s="8">
        <v>99</v>
      </c>
      <c r="F111" s="11" t="s">
        <v>175</v>
      </c>
      <c r="G111" s="11" t="s">
        <v>176</v>
      </c>
      <c r="H111" s="12">
        <v>1.5</v>
      </c>
      <c r="I111" s="8">
        <v>8</v>
      </c>
      <c r="J111" s="8">
        <v>-41</v>
      </c>
      <c r="K111" s="13" t="s">
        <v>151</v>
      </c>
      <c r="N111" s="7">
        <f t="shared" si="3"/>
        <v>5.08</v>
      </c>
    </row>
    <row r="112" spans="1:14" ht="12.5" x14ac:dyDescent="0.25">
      <c r="A112" s="8">
        <v>109</v>
      </c>
      <c r="B112" s="9">
        <v>46264</v>
      </c>
      <c r="C112" s="10">
        <v>0.64673611111111107</v>
      </c>
      <c r="D112" s="8">
        <v>13</v>
      </c>
      <c r="E112" s="8">
        <v>98</v>
      </c>
      <c r="F112" s="11" t="s">
        <v>175</v>
      </c>
      <c r="G112" s="11" t="s">
        <v>177</v>
      </c>
      <c r="H112" s="12">
        <v>1.6</v>
      </c>
      <c r="I112" s="8">
        <v>8</v>
      </c>
      <c r="J112" s="8">
        <v>-67</v>
      </c>
      <c r="K112" s="13" t="s">
        <v>151</v>
      </c>
      <c r="N112" s="7">
        <f t="shared" si="3"/>
        <v>5.22</v>
      </c>
    </row>
    <row r="113" spans="1:14" ht="12.5" x14ac:dyDescent="0.25">
      <c r="A113" s="8">
        <v>110</v>
      </c>
      <c r="B113" s="9">
        <v>46264</v>
      </c>
      <c r="C113" s="10">
        <v>0.64684027777777775</v>
      </c>
      <c r="D113" s="8">
        <v>1</v>
      </c>
      <c r="E113" s="8">
        <v>98</v>
      </c>
      <c r="F113" s="11" t="s">
        <v>175</v>
      </c>
      <c r="G113" s="11" t="s">
        <v>177</v>
      </c>
      <c r="H113" s="12">
        <v>1.54</v>
      </c>
      <c r="I113" s="8">
        <v>9</v>
      </c>
      <c r="J113" s="8">
        <v>-50</v>
      </c>
      <c r="K113" s="13" t="s">
        <v>151</v>
      </c>
      <c r="N113" s="7">
        <f t="shared" si="3"/>
        <v>5.37</v>
      </c>
    </row>
    <row r="114" spans="1:14" ht="12.5" x14ac:dyDescent="0.25">
      <c r="A114" s="8">
        <v>111</v>
      </c>
      <c r="B114" s="9">
        <v>46264</v>
      </c>
      <c r="C114" s="10">
        <v>0.64694444444444443</v>
      </c>
      <c r="D114" s="8">
        <v>1</v>
      </c>
      <c r="E114" s="8">
        <v>98</v>
      </c>
      <c r="F114" s="11" t="s">
        <v>175</v>
      </c>
      <c r="G114" s="11" t="s">
        <v>178</v>
      </c>
      <c r="H114" s="12">
        <v>1.91</v>
      </c>
      <c r="I114" s="8">
        <v>9</v>
      </c>
      <c r="J114" s="8">
        <v>-51</v>
      </c>
      <c r="K114" s="13" t="s">
        <v>151</v>
      </c>
      <c r="N114" s="7">
        <f t="shared" si="3"/>
        <v>5.52</v>
      </c>
    </row>
    <row r="115" spans="1:14" ht="12.5" x14ac:dyDescent="0.25">
      <c r="A115" s="8">
        <v>112</v>
      </c>
      <c r="B115" s="9">
        <v>46264</v>
      </c>
      <c r="C115" s="10">
        <v>0.64704861111111112</v>
      </c>
      <c r="D115" s="8">
        <v>0</v>
      </c>
      <c r="E115" s="8">
        <v>99</v>
      </c>
      <c r="F115" s="11" t="s">
        <v>175</v>
      </c>
      <c r="G115" s="11" t="s">
        <v>178</v>
      </c>
      <c r="H115" s="12">
        <v>1.85</v>
      </c>
      <c r="I115" s="8">
        <v>9</v>
      </c>
      <c r="J115" s="8">
        <v>-44</v>
      </c>
      <c r="K115" s="13" t="s">
        <v>151</v>
      </c>
      <c r="N115" s="7">
        <f t="shared" si="3"/>
        <v>5.67</v>
      </c>
    </row>
    <row r="116" spans="1:14" ht="12.5" x14ac:dyDescent="0.25">
      <c r="A116" s="8"/>
      <c r="B116" s="18"/>
      <c r="C116" s="19"/>
      <c r="D116" s="17"/>
      <c r="E116" s="17"/>
      <c r="F116" s="17"/>
      <c r="G116" s="17"/>
      <c r="H116" s="20"/>
      <c r="I116" s="17"/>
      <c r="J116" s="17"/>
      <c r="K116" s="17"/>
    </row>
    <row r="117" spans="1:14" ht="12.5" x14ac:dyDescent="0.25">
      <c r="A117" s="8">
        <v>113</v>
      </c>
      <c r="B117" s="18">
        <v>46266</v>
      </c>
      <c r="C117" s="19">
        <v>0.71957175925925931</v>
      </c>
      <c r="D117" s="17">
        <v>88</v>
      </c>
      <c r="E117" s="17">
        <v>99</v>
      </c>
      <c r="F117" s="21" t="s">
        <v>179</v>
      </c>
      <c r="G117" s="21" t="s">
        <v>180</v>
      </c>
      <c r="H117" s="20">
        <v>0</v>
      </c>
      <c r="I117" s="17">
        <v>10</v>
      </c>
      <c r="J117" s="17">
        <v>-45</v>
      </c>
      <c r="K117" s="17" t="s">
        <v>13</v>
      </c>
      <c r="M117" s="7">
        <f>ROUND(6371000*ACOS(COS(RADIANS(VALUE(F$117)))*COS(RADIANS(VALUE(F117)))*COS(RADIANS(VALUE(G117)-VALUE(G$117)))+SIN(RADIANS(VALUE(F$117)))*SIN(RADIANS(VALUE(F117)))),2)</f>
        <v>0</v>
      </c>
      <c r="N117" s="7">
        <f>ROUND((C117-$C$117)*1440,2)</f>
        <v>0</v>
      </c>
    </row>
    <row r="118" spans="1:14" ht="12.5" x14ac:dyDescent="0.25">
      <c r="A118" s="8">
        <v>114</v>
      </c>
      <c r="B118" s="18">
        <v>46266</v>
      </c>
      <c r="C118" s="19">
        <v>0.71965277777777781</v>
      </c>
      <c r="D118" s="17">
        <v>88</v>
      </c>
      <c r="E118" s="8">
        <v>99</v>
      </c>
      <c r="F118" s="21" t="s">
        <v>181</v>
      </c>
      <c r="G118" s="21" t="s">
        <v>182</v>
      </c>
      <c r="H118" s="20">
        <v>0</v>
      </c>
      <c r="I118" s="17">
        <v>10</v>
      </c>
      <c r="J118" s="17">
        <v>-39</v>
      </c>
      <c r="K118" s="17" t="s">
        <v>13</v>
      </c>
      <c r="M118" s="7">
        <f t="shared" ref="M118:M133" si="4">ROUND(6371000*ACOS(COS(RADIANS(VALUE(F$117)))*COS(RADIANS(VALUE(F118)))*COS(RADIANS(VALUE(G118)-VALUE(G$117)))+SIN(RADIANS(VALUE(F$117)))*SIN(RADIANS(VALUE(F118)))),2)</f>
        <v>1</v>
      </c>
      <c r="N118" s="7">
        <f t="shared" ref="N118:N133" si="5">ROUND((C118-$C$117)*1440,2)</f>
        <v>0.12</v>
      </c>
    </row>
    <row r="119" spans="1:14" ht="12.5" x14ac:dyDescent="0.25">
      <c r="A119" s="8">
        <v>115</v>
      </c>
      <c r="B119" s="18">
        <v>46266</v>
      </c>
      <c r="C119" s="19">
        <v>0.71972222222222226</v>
      </c>
      <c r="D119" s="17">
        <v>88</v>
      </c>
      <c r="E119" s="17">
        <v>99</v>
      </c>
      <c r="F119" s="21" t="s">
        <v>183</v>
      </c>
      <c r="G119" s="21" t="s">
        <v>184</v>
      </c>
      <c r="H119" s="20">
        <v>0.52</v>
      </c>
      <c r="I119" s="17">
        <v>10</v>
      </c>
      <c r="J119" s="17">
        <v>-52</v>
      </c>
      <c r="K119" s="17" t="s">
        <v>13</v>
      </c>
      <c r="M119" s="7">
        <f t="shared" si="4"/>
        <v>2.71</v>
      </c>
      <c r="N119" s="7">
        <f t="shared" si="5"/>
        <v>0.22</v>
      </c>
    </row>
    <row r="120" spans="1:14" ht="12.5" x14ac:dyDescent="0.25">
      <c r="A120" s="8">
        <v>116</v>
      </c>
      <c r="B120" s="18">
        <v>46266</v>
      </c>
      <c r="C120" s="19">
        <v>0.71980324074074076</v>
      </c>
      <c r="D120" s="17">
        <v>88</v>
      </c>
      <c r="E120" s="8">
        <v>99</v>
      </c>
      <c r="F120" s="21" t="s">
        <v>185</v>
      </c>
      <c r="G120" s="21" t="s">
        <v>186</v>
      </c>
      <c r="H120" s="20">
        <v>4.22</v>
      </c>
      <c r="I120" s="17">
        <v>11</v>
      </c>
      <c r="J120" s="17">
        <v>-62</v>
      </c>
      <c r="K120" s="17" t="s">
        <v>13</v>
      </c>
      <c r="M120" s="7">
        <f t="shared" si="4"/>
        <v>14.08</v>
      </c>
      <c r="N120" s="7">
        <f t="shared" si="5"/>
        <v>0.33</v>
      </c>
    </row>
    <row r="121" spans="1:14" ht="12.5" x14ac:dyDescent="0.25">
      <c r="A121" s="8">
        <v>117</v>
      </c>
      <c r="B121" s="18">
        <v>46266</v>
      </c>
      <c r="C121" s="19">
        <v>0.71986111111111106</v>
      </c>
      <c r="D121" s="17">
        <v>82</v>
      </c>
      <c r="E121" s="17">
        <v>99</v>
      </c>
      <c r="F121" s="21" t="s">
        <v>187</v>
      </c>
      <c r="G121" s="21" t="s">
        <v>188</v>
      </c>
      <c r="H121" s="20">
        <v>7.41</v>
      </c>
      <c r="I121" s="17">
        <v>10</v>
      </c>
      <c r="J121" s="17">
        <v>-76</v>
      </c>
      <c r="K121" s="17" t="s">
        <v>13</v>
      </c>
      <c r="M121" s="7">
        <f t="shared" si="4"/>
        <v>29.41</v>
      </c>
      <c r="N121" s="7">
        <f t="shared" si="5"/>
        <v>0.42</v>
      </c>
    </row>
    <row r="122" spans="1:14" ht="12.5" x14ac:dyDescent="0.25">
      <c r="A122" s="8">
        <v>118</v>
      </c>
      <c r="B122" s="18">
        <v>46266</v>
      </c>
      <c r="C122" s="19">
        <v>0.71993055555555552</v>
      </c>
      <c r="D122" s="17">
        <v>82</v>
      </c>
      <c r="E122" s="8">
        <v>99</v>
      </c>
      <c r="F122" s="21" t="s">
        <v>189</v>
      </c>
      <c r="G122" s="21" t="s">
        <v>190</v>
      </c>
      <c r="H122" s="20">
        <v>11.06</v>
      </c>
      <c r="I122" s="17">
        <v>11</v>
      </c>
      <c r="J122" s="17">
        <v>-84</v>
      </c>
      <c r="K122" s="17" t="s">
        <v>13</v>
      </c>
      <c r="M122" s="7">
        <f t="shared" si="4"/>
        <v>56.17</v>
      </c>
      <c r="N122" s="7">
        <f t="shared" si="5"/>
        <v>0.52</v>
      </c>
    </row>
    <row r="123" spans="1:14" ht="12.5" x14ac:dyDescent="0.25">
      <c r="A123" s="8">
        <v>119</v>
      </c>
      <c r="B123" s="18">
        <v>46266</v>
      </c>
      <c r="C123" s="19">
        <v>0.72</v>
      </c>
      <c r="D123" s="17">
        <v>82</v>
      </c>
      <c r="E123" s="17">
        <v>99</v>
      </c>
      <c r="F123" s="21" t="s">
        <v>191</v>
      </c>
      <c r="G123" s="21" t="s">
        <v>192</v>
      </c>
      <c r="H123" s="20">
        <v>14.39</v>
      </c>
      <c r="I123" s="17">
        <v>10</v>
      </c>
      <c r="J123" s="17">
        <v>-89</v>
      </c>
      <c r="K123" s="17" t="s">
        <v>13</v>
      </c>
      <c r="M123" s="7">
        <f t="shared" si="4"/>
        <v>71.22</v>
      </c>
      <c r="N123" s="7">
        <f t="shared" si="5"/>
        <v>0.62</v>
      </c>
    </row>
    <row r="124" spans="1:14" ht="12.5" x14ac:dyDescent="0.25">
      <c r="A124" s="8">
        <v>120</v>
      </c>
      <c r="B124" s="18">
        <v>46266</v>
      </c>
      <c r="C124" s="19">
        <v>0.72006944444444443</v>
      </c>
      <c r="D124" s="17">
        <v>81</v>
      </c>
      <c r="E124" s="8">
        <v>99</v>
      </c>
      <c r="F124" s="21" t="s">
        <v>193</v>
      </c>
      <c r="G124" s="21" t="s">
        <v>194</v>
      </c>
      <c r="H124" s="20">
        <v>5.33</v>
      </c>
      <c r="I124" s="17">
        <v>11</v>
      </c>
      <c r="J124" s="17">
        <v>-91</v>
      </c>
      <c r="K124" s="17" t="s">
        <v>13</v>
      </c>
      <c r="M124" s="7">
        <f t="shared" si="4"/>
        <v>94.99</v>
      </c>
      <c r="N124" s="7">
        <f t="shared" si="5"/>
        <v>0.72</v>
      </c>
    </row>
    <row r="125" spans="1:14" ht="12.5" x14ac:dyDescent="0.25">
      <c r="A125" s="8">
        <v>121</v>
      </c>
      <c r="B125" s="18">
        <v>46266</v>
      </c>
      <c r="C125" s="19">
        <v>0.72013888888888888</v>
      </c>
      <c r="D125" s="17">
        <v>81</v>
      </c>
      <c r="E125" s="17">
        <v>99</v>
      </c>
      <c r="F125" s="21" t="s">
        <v>195</v>
      </c>
      <c r="G125" s="21" t="s">
        <v>196</v>
      </c>
      <c r="H125" s="20">
        <v>5.93</v>
      </c>
      <c r="I125" s="17">
        <v>11</v>
      </c>
      <c r="J125" s="17">
        <v>-106</v>
      </c>
      <c r="K125" s="17" t="s">
        <v>13</v>
      </c>
      <c r="M125" s="7">
        <f t="shared" si="4"/>
        <v>105.51</v>
      </c>
      <c r="N125" s="7">
        <f t="shared" si="5"/>
        <v>0.82</v>
      </c>
    </row>
    <row r="126" spans="1:14" ht="12.5" x14ac:dyDescent="0.25">
      <c r="A126" s="8">
        <v>122</v>
      </c>
      <c r="B126" s="18">
        <v>46266</v>
      </c>
      <c r="C126" s="19">
        <v>0.72020833333333334</v>
      </c>
      <c r="D126" s="17">
        <v>76</v>
      </c>
      <c r="E126" s="8">
        <v>99</v>
      </c>
      <c r="F126" s="21" t="s">
        <v>197</v>
      </c>
      <c r="G126" s="21" t="s">
        <v>198</v>
      </c>
      <c r="H126" s="20">
        <v>6.44</v>
      </c>
      <c r="I126" s="17">
        <v>11</v>
      </c>
      <c r="J126" s="17">
        <v>-116</v>
      </c>
      <c r="K126" s="17" t="s">
        <v>13</v>
      </c>
      <c r="M126" s="7">
        <f t="shared" si="4"/>
        <v>110.27</v>
      </c>
      <c r="N126" s="7">
        <f t="shared" si="5"/>
        <v>0.92</v>
      </c>
    </row>
    <row r="127" spans="1:14" ht="12.5" x14ac:dyDescent="0.25">
      <c r="A127" s="8">
        <v>123</v>
      </c>
      <c r="B127" s="18">
        <v>46266</v>
      </c>
      <c r="C127" s="19">
        <v>0.72027777777777779</v>
      </c>
      <c r="D127" s="17">
        <v>76</v>
      </c>
      <c r="E127" s="17">
        <v>99</v>
      </c>
      <c r="F127" s="21" t="s">
        <v>199</v>
      </c>
      <c r="G127" s="21" t="s">
        <v>200</v>
      </c>
      <c r="H127" s="20">
        <v>11.65</v>
      </c>
      <c r="I127" s="17">
        <v>11</v>
      </c>
      <c r="J127" s="17">
        <v>-120</v>
      </c>
      <c r="K127" s="17" t="s">
        <v>13</v>
      </c>
      <c r="M127" s="7">
        <f t="shared" si="4"/>
        <v>131.30000000000001</v>
      </c>
      <c r="N127" s="7">
        <f t="shared" si="5"/>
        <v>1.02</v>
      </c>
    </row>
    <row r="128" spans="1:14" ht="12.5" x14ac:dyDescent="0.25">
      <c r="A128" s="8">
        <v>124</v>
      </c>
      <c r="B128" s="18">
        <v>46266</v>
      </c>
      <c r="C128" s="19">
        <v>0.72037037037037033</v>
      </c>
      <c r="D128" s="17">
        <v>76</v>
      </c>
      <c r="E128" s="8">
        <v>99</v>
      </c>
      <c r="F128" s="21" t="s">
        <v>201</v>
      </c>
      <c r="G128" s="21" t="s">
        <v>202</v>
      </c>
      <c r="H128" s="20">
        <v>8.6999999999999993</v>
      </c>
      <c r="I128" s="17">
        <v>10</v>
      </c>
      <c r="J128" s="17">
        <v>-120</v>
      </c>
      <c r="K128" s="17" t="s">
        <v>13</v>
      </c>
      <c r="M128" s="7">
        <f t="shared" si="4"/>
        <v>149.41</v>
      </c>
      <c r="N128" s="7">
        <f t="shared" si="5"/>
        <v>1.1499999999999999</v>
      </c>
    </row>
    <row r="129" spans="1:14" ht="12.5" x14ac:dyDescent="0.25">
      <c r="A129" s="8">
        <v>125</v>
      </c>
      <c r="B129" s="18">
        <v>46266</v>
      </c>
      <c r="C129" s="19">
        <v>0.72047453703703701</v>
      </c>
      <c r="D129" s="17">
        <v>76</v>
      </c>
      <c r="E129" s="17">
        <v>99</v>
      </c>
      <c r="F129" s="21" t="s">
        <v>203</v>
      </c>
      <c r="G129" s="21" t="s">
        <v>204</v>
      </c>
      <c r="H129" s="20">
        <v>12.69</v>
      </c>
      <c r="I129" s="17">
        <v>10</v>
      </c>
      <c r="J129" s="17">
        <v>-118</v>
      </c>
      <c r="K129" s="17" t="s">
        <v>13</v>
      </c>
      <c r="M129" s="7">
        <f t="shared" si="4"/>
        <v>179.77</v>
      </c>
      <c r="N129" s="7">
        <f>ROUND((C129-$C$117)*1440,2)</f>
        <v>1.3</v>
      </c>
    </row>
    <row r="130" spans="1:14" ht="12.5" x14ac:dyDescent="0.25">
      <c r="A130" s="8">
        <v>126</v>
      </c>
      <c r="B130" s="18">
        <v>46266</v>
      </c>
      <c r="C130" s="19">
        <v>0.72059027777777773</v>
      </c>
      <c r="D130" s="17">
        <v>76</v>
      </c>
      <c r="E130" s="8">
        <v>99</v>
      </c>
      <c r="F130" s="21" t="s">
        <v>205</v>
      </c>
      <c r="G130" s="21" t="s">
        <v>206</v>
      </c>
      <c r="H130" s="20">
        <v>5.82</v>
      </c>
      <c r="I130" s="17">
        <v>11</v>
      </c>
      <c r="J130" s="17">
        <v>-114</v>
      </c>
      <c r="K130" s="17" t="s">
        <v>13</v>
      </c>
      <c r="M130" s="7">
        <f t="shared" si="4"/>
        <v>184.6</v>
      </c>
      <c r="N130" s="7">
        <f t="shared" si="5"/>
        <v>1.47</v>
      </c>
    </row>
    <row r="131" spans="1:14" ht="12.5" x14ac:dyDescent="0.25">
      <c r="A131" s="8">
        <v>127</v>
      </c>
      <c r="B131" s="18">
        <v>46266</v>
      </c>
      <c r="C131" s="19">
        <v>0.72065972222222219</v>
      </c>
      <c r="D131" s="17">
        <v>76</v>
      </c>
      <c r="E131" s="17">
        <v>99</v>
      </c>
      <c r="F131" s="21" t="s">
        <v>207</v>
      </c>
      <c r="G131" s="21" t="s">
        <v>208</v>
      </c>
      <c r="H131" s="20">
        <v>14.43</v>
      </c>
      <c r="I131" s="17">
        <v>12</v>
      </c>
      <c r="J131" s="17">
        <v>-116</v>
      </c>
      <c r="K131" s="17" t="s">
        <v>13</v>
      </c>
      <c r="M131" s="7">
        <f t="shared" si="4"/>
        <v>184.72</v>
      </c>
      <c r="N131" s="7">
        <f t="shared" si="5"/>
        <v>1.57</v>
      </c>
    </row>
    <row r="132" spans="1:14" ht="12.5" x14ac:dyDescent="0.25">
      <c r="A132" s="8">
        <v>128</v>
      </c>
      <c r="B132" s="18">
        <v>46266</v>
      </c>
      <c r="C132" s="19">
        <v>0.72086805555555555</v>
      </c>
      <c r="D132" s="17">
        <v>76</v>
      </c>
      <c r="E132" s="8">
        <v>99</v>
      </c>
      <c r="F132" s="21" t="s">
        <v>209</v>
      </c>
      <c r="G132" s="21" t="s">
        <v>210</v>
      </c>
      <c r="H132" s="20">
        <v>7.28</v>
      </c>
      <c r="I132" s="17">
        <v>12</v>
      </c>
      <c r="J132" s="17">
        <v>-120</v>
      </c>
      <c r="K132" s="17" t="s">
        <v>13</v>
      </c>
      <c r="M132" s="7">
        <f t="shared" si="4"/>
        <v>199.97</v>
      </c>
      <c r="N132" s="7">
        <f t="shared" si="5"/>
        <v>1.87</v>
      </c>
    </row>
    <row r="133" spans="1:14" ht="12.5" x14ac:dyDescent="0.25">
      <c r="A133" s="8">
        <v>129</v>
      </c>
      <c r="B133" s="18">
        <v>46266</v>
      </c>
      <c r="C133" s="19">
        <v>0.7211805555555556</v>
      </c>
      <c r="D133" s="17">
        <v>76</v>
      </c>
      <c r="E133" s="17">
        <v>99</v>
      </c>
      <c r="F133" s="21" t="s">
        <v>209</v>
      </c>
      <c r="G133" s="21" t="s">
        <v>211</v>
      </c>
      <c r="H133" s="20">
        <v>18.32</v>
      </c>
      <c r="I133" s="17">
        <v>12</v>
      </c>
      <c r="J133" s="17">
        <v>-121</v>
      </c>
      <c r="K133" s="17" t="s">
        <v>13</v>
      </c>
      <c r="M133" s="7">
        <f t="shared" si="4"/>
        <v>293.54000000000002</v>
      </c>
      <c r="N133" s="7">
        <f t="shared" si="5"/>
        <v>2.3199999999999998</v>
      </c>
    </row>
    <row r="134" spans="1:14" ht="12.5" x14ac:dyDescent="0.25">
      <c r="A134" s="8"/>
      <c r="B134" s="9"/>
      <c r="C134" s="10"/>
      <c r="D134" s="8"/>
      <c r="F134" s="8"/>
      <c r="G134" s="8"/>
      <c r="H134" s="22"/>
      <c r="I134" s="8"/>
      <c r="J134" s="8"/>
      <c r="K134" s="13"/>
    </row>
    <row r="135" spans="1:14" ht="12.5" x14ac:dyDescent="0.25">
      <c r="A135" s="2">
        <v>130</v>
      </c>
      <c r="B135" s="23">
        <v>46269</v>
      </c>
      <c r="C135" s="24">
        <v>0.36476851851851855</v>
      </c>
      <c r="D135" s="2">
        <v>0</v>
      </c>
      <c r="E135" s="2">
        <v>99</v>
      </c>
      <c r="F135" s="3">
        <v>1.10795</v>
      </c>
      <c r="G135" s="3">
        <v>103.979101</v>
      </c>
      <c r="H135" s="2">
        <v>0</v>
      </c>
      <c r="I135" s="2">
        <v>12</v>
      </c>
      <c r="J135" s="2">
        <v>-28</v>
      </c>
      <c r="K135" s="3" t="s">
        <v>151</v>
      </c>
    </row>
    <row r="136" spans="1:14" ht="12.5" x14ac:dyDescent="0.25">
      <c r="A136" s="2">
        <v>131</v>
      </c>
      <c r="B136" s="23">
        <v>46269</v>
      </c>
      <c r="C136" s="24">
        <v>0.36483796296296295</v>
      </c>
      <c r="D136" s="2">
        <v>0</v>
      </c>
      <c r="E136" s="2">
        <v>99</v>
      </c>
      <c r="F136" s="3">
        <v>1.1079380000000001</v>
      </c>
      <c r="G136" s="3">
        <v>103.979105</v>
      </c>
      <c r="H136" s="2">
        <v>0</v>
      </c>
      <c r="I136" s="2">
        <v>12</v>
      </c>
      <c r="J136" s="2">
        <v>-24</v>
      </c>
      <c r="K136" s="3" t="s">
        <v>151</v>
      </c>
    </row>
    <row r="137" spans="1:14" ht="12.5" x14ac:dyDescent="0.25">
      <c r="A137" s="2">
        <v>132</v>
      </c>
      <c r="B137" s="23">
        <v>46269</v>
      </c>
      <c r="C137" s="24">
        <v>0.36495370370370367</v>
      </c>
      <c r="D137" s="2">
        <v>0</v>
      </c>
      <c r="E137" s="2">
        <v>99</v>
      </c>
      <c r="F137" s="3">
        <v>1.107923</v>
      </c>
      <c r="G137" s="3">
        <v>103.979112</v>
      </c>
      <c r="H137" s="2">
        <v>0</v>
      </c>
      <c r="I137" s="2">
        <v>12</v>
      </c>
      <c r="J137" s="2">
        <v>-43</v>
      </c>
      <c r="K137" s="3" t="s">
        <v>151</v>
      </c>
    </row>
    <row r="138" spans="1:14" ht="12.5" x14ac:dyDescent="0.25">
      <c r="A138" s="2">
        <v>133</v>
      </c>
      <c r="B138" s="23">
        <v>46269</v>
      </c>
      <c r="C138" s="24">
        <v>0.36503472222222227</v>
      </c>
      <c r="D138" s="2">
        <v>0</v>
      </c>
      <c r="E138" s="2">
        <v>99</v>
      </c>
      <c r="F138" s="3">
        <v>1.107912</v>
      </c>
      <c r="G138" s="3">
        <v>103.9791</v>
      </c>
      <c r="H138" s="2" t="s">
        <v>214</v>
      </c>
      <c r="I138" s="2">
        <v>9</v>
      </c>
      <c r="J138" s="2">
        <v>-31</v>
      </c>
      <c r="K138" s="3" t="s">
        <v>151</v>
      </c>
    </row>
    <row r="139" spans="1:14" ht="12.5" x14ac:dyDescent="0.25">
      <c r="A139" s="2">
        <v>134</v>
      </c>
      <c r="B139" s="23">
        <v>46269</v>
      </c>
      <c r="C139" s="24">
        <v>0.36509259259259258</v>
      </c>
      <c r="D139" s="2">
        <v>0</v>
      </c>
      <c r="E139" s="2">
        <v>99</v>
      </c>
      <c r="F139" s="3">
        <v>1.107909</v>
      </c>
      <c r="G139" s="3">
        <v>103.97909300000001</v>
      </c>
      <c r="H139" s="2">
        <v>0</v>
      </c>
      <c r="I139" s="2">
        <v>12</v>
      </c>
      <c r="J139" s="2">
        <v>-43</v>
      </c>
      <c r="K139" s="3" t="s">
        <v>151</v>
      </c>
    </row>
    <row r="140" spans="1:14" ht="12.5" x14ac:dyDescent="0.25">
      <c r="A140" s="2">
        <v>135</v>
      </c>
      <c r="B140" s="23">
        <v>46269</v>
      </c>
      <c r="C140" s="24">
        <v>0.36517361111111107</v>
      </c>
      <c r="D140" s="2">
        <v>0</v>
      </c>
      <c r="E140" s="2">
        <v>99</v>
      </c>
      <c r="F140" s="3">
        <v>1.1079060000000001</v>
      </c>
      <c r="G140" s="3">
        <v>103.97908200000001</v>
      </c>
      <c r="H140" s="2">
        <v>0</v>
      </c>
      <c r="I140" s="2">
        <v>12</v>
      </c>
      <c r="J140" s="2">
        <v>-42</v>
      </c>
      <c r="K140" s="3" t="s">
        <v>151</v>
      </c>
    </row>
    <row r="141" spans="1:14" ht="12.5" x14ac:dyDescent="0.25">
      <c r="A141" s="2">
        <v>136</v>
      </c>
      <c r="B141" s="23">
        <v>46269</v>
      </c>
      <c r="C141" s="24">
        <v>0.36524305555555553</v>
      </c>
      <c r="D141" s="2">
        <v>0</v>
      </c>
      <c r="E141" s="2">
        <v>99</v>
      </c>
      <c r="F141" s="3">
        <v>1.1079000000000001</v>
      </c>
      <c r="G141" s="3">
        <v>103.97907600000001</v>
      </c>
      <c r="H141" s="2">
        <v>0</v>
      </c>
      <c r="I141" s="2">
        <v>12</v>
      </c>
      <c r="J141" s="2">
        <v>-42</v>
      </c>
      <c r="K141" s="3" t="s">
        <v>151</v>
      </c>
    </row>
    <row r="142" spans="1:14" ht="12.5" x14ac:dyDescent="0.25">
      <c r="A142" s="2">
        <v>137</v>
      </c>
      <c r="B142" s="23">
        <v>46269</v>
      </c>
      <c r="C142" s="24">
        <v>0.36531249999999998</v>
      </c>
      <c r="D142" s="2">
        <v>0</v>
      </c>
      <c r="E142" s="2">
        <v>99</v>
      </c>
      <c r="F142" s="3">
        <v>1.1078939999999999</v>
      </c>
      <c r="G142" s="3">
        <v>103.979073</v>
      </c>
      <c r="H142" s="2">
        <v>0</v>
      </c>
      <c r="I142" s="2">
        <v>12</v>
      </c>
      <c r="J142" s="2">
        <v>-42</v>
      </c>
      <c r="K142" s="3" t="s">
        <v>151</v>
      </c>
    </row>
    <row r="143" spans="1:14" ht="12.5" x14ac:dyDescent="0.25">
      <c r="A143" s="2">
        <v>138</v>
      </c>
      <c r="B143" s="23">
        <v>46269</v>
      </c>
      <c r="C143" s="24">
        <v>0.36538194444444444</v>
      </c>
      <c r="D143" s="2">
        <v>0</v>
      </c>
      <c r="E143" s="2">
        <v>99</v>
      </c>
      <c r="F143" s="3">
        <v>1.1078870000000001</v>
      </c>
      <c r="G143" s="3">
        <v>103.979066</v>
      </c>
      <c r="H143" s="2">
        <v>0</v>
      </c>
      <c r="I143" s="2">
        <v>13</v>
      </c>
      <c r="J143" s="2">
        <v>-31</v>
      </c>
      <c r="K143" s="3" t="s">
        <v>151</v>
      </c>
    </row>
    <row r="144" spans="1:14" ht="12.5" x14ac:dyDescent="0.25">
      <c r="A144" s="2">
        <v>139</v>
      </c>
      <c r="B144" s="23">
        <v>46269</v>
      </c>
      <c r="C144" s="24">
        <v>0.3654513888888889</v>
      </c>
      <c r="D144" s="2">
        <v>0</v>
      </c>
      <c r="E144" s="2">
        <v>99</v>
      </c>
      <c r="F144" s="3">
        <v>1.107882</v>
      </c>
      <c r="G144" s="3">
        <v>103.97906</v>
      </c>
      <c r="H144" s="2">
        <v>0</v>
      </c>
      <c r="I144" s="2">
        <v>13</v>
      </c>
      <c r="J144" s="2">
        <v>-31</v>
      </c>
      <c r="K144" s="3" t="s">
        <v>151</v>
      </c>
    </row>
    <row r="145" spans="1:11" ht="12.5" x14ac:dyDescent="0.25">
      <c r="A145" s="2">
        <v>140</v>
      </c>
      <c r="B145" s="23">
        <v>46269</v>
      </c>
      <c r="C145" s="24">
        <v>0.36552083333333335</v>
      </c>
      <c r="D145" s="2">
        <v>0</v>
      </c>
      <c r="E145" s="2">
        <v>99</v>
      </c>
      <c r="F145" s="3">
        <v>1.1078760000000001</v>
      </c>
      <c r="G145" s="3">
        <v>103.979054</v>
      </c>
      <c r="H145" s="2">
        <v>0</v>
      </c>
      <c r="I145" s="2">
        <v>13</v>
      </c>
      <c r="J145" s="2">
        <v>-31</v>
      </c>
      <c r="K145" s="3" t="s">
        <v>151</v>
      </c>
    </row>
    <row r="146" spans="1:11" ht="12.5" x14ac:dyDescent="0.25">
      <c r="A146" s="2">
        <v>141</v>
      </c>
      <c r="B146" s="23">
        <v>46269</v>
      </c>
      <c r="C146" s="24">
        <v>0.36559027777777775</v>
      </c>
      <c r="D146" s="2">
        <v>0</v>
      </c>
      <c r="E146" s="2">
        <v>99</v>
      </c>
      <c r="F146" s="3">
        <v>1.107874</v>
      </c>
      <c r="G146" s="3">
        <v>103.979052</v>
      </c>
      <c r="H146" s="2">
        <v>0</v>
      </c>
      <c r="I146" s="2">
        <v>12</v>
      </c>
      <c r="J146" s="2">
        <v>-31</v>
      </c>
      <c r="K146" s="3" t="s">
        <v>151</v>
      </c>
    </row>
    <row r="147" spans="1:11" ht="12.5" x14ac:dyDescent="0.25">
      <c r="A147" s="2">
        <v>142</v>
      </c>
      <c r="B147" s="23">
        <v>46269</v>
      </c>
      <c r="C147" s="24">
        <v>0.3656712962962963</v>
      </c>
      <c r="D147" s="2">
        <v>0</v>
      </c>
      <c r="E147" s="2">
        <v>99</v>
      </c>
      <c r="F147" s="3">
        <v>1.107872</v>
      </c>
      <c r="G147" s="3">
        <v>103.979051</v>
      </c>
      <c r="H147" s="2">
        <v>0</v>
      </c>
      <c r="I147" s="2">
        <v>12</v>
      </c>
      <c r="J147" s="2">
        <v>-31</v>
      </c>
      <c r="K147" s="3" t="s">
        <v>151</v>
      </c>
    </row>
    <row r="148" spans="1:11" ht="12.5" x14ac:dyDescent="0.25">
      <c r="A148" s="2">
        <v>143</v>
      </c>
      <c r="B148" s="23">
        <v>46269</v>
      </c>
      <c r="C148" s="24">
        <v>0.36572916666666666</v>
      </c>
      <c r="D148" s="2">
        <v>0</v>
      </c>
      <c r="E148" s="2">
        <v>99</v>
      </c>
      <c r="F148" s="3">
        <v>1.1078699999999999</v>
      </c>
      <c r="G148" s="3">
        <v>103.979051</v>
      </c>
      <c r="H148" s="2">
        <v>0</v>
      </c>
      <c r="I148" s="2">
        <v>13</v>
      </c>
      <c r="J148" s="2">
        <v>-30</v>
      </c>
      <c r="K148" s="3" t="s">
        <v>151</v>
      </c>
    </row>
    <row r="149" spans="1:11" ht="12.5" x14ac:dyDescent="0.25">
      <c r="A149" s="2">
        <v>144</v>
      </c>
      <c r="B149" s="23">
        <v>46269</v>
      </c>
      <c r="C149" s="24">
        <v>0.36583333333333329</v>
      </c>
      <c r="D149" s="2">
        <v>0</v>
      </c>
      <c r="E149" s="2">
        <v>99</v>
      </c>
      <c r="F149" s="3">
        <v>1.1078680000000001</v>
      </c>
      <c r="G149" s="3">
        <v>103.979052</v>
      </c>
      <c r="H149" s="2">
        <v>0</v>
      </c>
      <c r="I149" s="2">
        <v>13</v>
      </c>
      <c r="J149" s="2">
        <v>-42</v>
      </c>
      <c r="K149" s="3" t="s">
        <v>151</v>
      </c>
    </row>
    <row r="150" spans="1:11" ht="12.5" x14ac:dyDescent="0.25">
      <c r="A150" s="2">
        <v>145</v>
      </c>
      <c r="B150" s="23">
        <v>46269</v>
      </c>
      <c r="C150" s="24">
        <v>0.36592592592592593</v>
      </c>
      <c r="D150" s="2">
        <v>0</v>
      </c>
      <c r="E150" s="2">
        <v>99</v>
      </c>
      <c r="F150" s="3">
        <v>1.107869</v>
      </c>
      <c r="G150" s="3">
        <v>103.979043</v>
      </c>
      <c r="H150" s="2">
        <v>0</v>
      </c>
      <c r="I150" s="2">
        <v>13</v>
      </c>
      <c r="J150" s="2">
        <v>-44</v>
      </c>
      <c r="K150" s="3" t="s">
        <v>151</v>
      </c>
    </row>
    <row r="151" spans="1:11" ht="12.5" x14ac:dyDescent="0.25">
      <c r="A151" s="2">
        <v>146</v>
      </c>
      <c r="B151" s="23">
        <v>46269</v>
      </c>
      <c r="C151" s="24">
        <v>0.36601851851851852</v>
      </c>
      <c r="D151" s="2">
        <v>0</v>
      </c>
      <c r="E151" s="2">
        <v>99</v>
      </c>
      <c r="F151" s="3">
        <v>1.1078669999999999</v>
      </c>
      <c r="G151" s="3">
        <v>103.979046</v>
      </c>
      <c r="H151" s="2">
        <v>0</v>
      </c>
      <c r="I151" s="2">
        <v>12</v>
      </c>
      <c r="J151" s="2">
        <v>-44</v>
      </c>
      <c r="K151" s="3" t="s">
        <v>151</v>
      </c>
    </row>
    <row r="152" spans="1:11" ht="12.5" x14ac:dyDescent="0.25">
      <c r="A152" s="2">
        <v>147</v>
      </c>
      <c r="B152" s="23">
        <v>46269</v>
      </c>
      <c r="C152" s="24">
        <v>0.36608796296296298</v>
      </c>
      <c r="D152" s="2">
        <v>0</v>
      </c>
      <c r="E152" s="2">
        <v>99</v>
      </c>
      <c r="F152" s="3">
        <v>1.107872</v>
      </c>
      <c r="G152" s="3">
        <v>103.979051</v>
      </c>
      <c r="H152" s="2">
        <v>0</v>
      </c>
      <c r="I152" s="2">
        <v>12</v>
      </c>
      <c r="J152" s="2">
        <v>-43</v>
      </c>
      <c r="K152" s="3" t="s">
        <v>151</v>
      </c>
    </row>
    <row r="153" spans="1:11" ht="12.5" x14ac:dyDescent="0.25">
      <c r="A153" s="2">
        <v>148</v>
      </c>
      <c r="B153" s="23">
        <v>46269</v>
      </c>
      <c r="C153" s="24">
        <v>0.36615740740740743</v>
      </c>
      <c r="D153" s="2">
        <v>0</v>
      </c>
      <c r="E153" s="2">
        <v>99</v>
      </c>
      <c r="F153" s="3">
        <v>1.1078710000000001</v>
      </c>
      <c r="G153" s="3">
        <v>103.97905</v>
      </c>
      <c r="H153" s="2">
        <v>0</v>
      </c>
      <c r="I153" s="2">
        <v>13</v>
      </c>
      <c r="J153" s="2">
        <v>-36</v>
      </c>
      <c r="K153" s="3" t="s">
        <v>151</v>
      </c>
    </row>
    <row r="154" spans="1:11" ht="12.5" x14ac:dyDescent="0.25">
      <c r="A154" s="2">
        <v>149</v>
      </c>
      <c r="B154" s="23">
        <v>46269</v>
      </c>
      <c r="C154" s="24">
        <v>0.36622685185185189</v>
      </c>
      <c r="D154" s="2">
        <v>0</v>
      </c>
      <c r="E154" s="2">
        <v>99</v>
      </c>
      <c r="F154" s="3">
        <v>1.1078730000000001</v>
      </c>
      <c r="G154" s="3">
        <v>103.97905799999999</v>
      </c>
      <c r="H154" s="2">
        <v>0</v>
      </c>
      <c r="I154" s="2">
        <v>13</v>
      </c>
      <c r="J154" s="2">
        <v>-30</v>
      </c>
      <c r="K154" s="3" t="s">
        <v>151</v>
      </c>
    </row>
    <row r="155" spans="1:11" ht="12.5" x14ac:dyDescent="0.25">
      <c r="A155" s="2">
        <v>150</v>
      </c>
      <c r="B155" s="23">
        <v>46269</v>
      </c>
      <c r="C155" s="24">
        <v>0.36629629629629629</v>
      </c>
      <c r="D155" s="2">
        <v>0</v>
      </c>
      <c r="E155" s="2">
        <v>99</v>
      </c>
      <c r="F155" s="3">
        <v>1.107872</v>
      </c>
      <c r="G155" s="3">
        <v>103.97905299999999</v>
      </c>
      <c r="H155" s="2">
        <v>0</v>
      </c>
      <c r="I155" s="2">
        <v>13</v>
      </c>
      <c r="J155" s="2">
        <v>-29</v>
      </c>
      <c r="K155" s="3" t="s">
        <v>151</v>
      </c>
    </row>
    <row r="156" spans="1:11" ht="12.5" x14ac:dyDescent="0.25">
      <c r="A156" s="2">
        <v>151</v>
      </c>
      <c r="B156" s="23">
        <v>46269</v>
      </c>
      <c r="C156" s="24">
        <v>0.36636574074074074</v>
      </c>
      <c r="D156" s="2">
        <v>11</v>
      </c>
      <c r="E156" s="2">
        <v>99</v>
      </c>
      <c r="F156" s="3">
        <v>1.1078730000000001</v>
      </c>
      <c r="G156" s="3">
        <v>103.97905</v>
      </c>
      <c r="H156" s="2">
        <v>0</v>
      </c>
      <c r="I156" s="2">
        <v>13</v>
      </c>
      <c r="J156" s="2">
        <v>-44</v>
      </c>
      <c r="K156" s="3" t="s">
        <v>151</v>
      </c>
    </row>
    <row r="157" spans="1:11" ht="12.5" x14ac:dyDescent="0.25">
      <c r="A157" s="2">
        <v>152</v>
      </c>
      <c r="B157" s="23">
        <v>46269</v>
      </c>
      <c r="C157" s="24">
        <v>0.36644675925925929</v>
      </c>
      <c r="D157" s="2">
        <v>11</v>
      </c>
      <c r="E157" s="2">
        <v>99</v>
      </c>
      <c r="F157" s="3">
        <v>1.1078760000000001</v>
      </c>
      <c r="G157" s="3">
        <v>103.979041</v>
      </c>
      <c r="H157" s="2">
        <v>0</v>
      </c>
      <c r="I157" s="2">
        <v>13</v>
      </c>
      <c r="J157" s="2">
        <v>-41</v>
      </c>
      <c r="K157" s="3" t="s">
        <v>151</v>
      </c>
    </row>
    <row r="158" spans="1:11" ht="12.5" x14ac:dyDescent="0.25">
      <c r="A158" s="2">
        <v>153</v>
      </c>
      <c r="B158" s="23">
        <v>46269</v>
      </c>
      <c r="C158" s="24">
        <v>0.36655092592592592</v>
      </c>
      <c r="D158" s="2">
        <v>11</v>
      </c>
      <c r="E158" s="2">
        <v>99</v>
      </c>
      <c r="F158" s="3">
        <v>1.1078749999999999</v>
      </c>
      <c r="G158" s="3">
        <v>103.979043</v>
      </c>
      <c r="H158" s="2">
        <v>0</v>
      </c>
      <c r="I158" s="2">
        <v>13</v>
      </c>
      <c r="J158" s="2">
        <v>-42</v>
      </c>
      <c r="K158" s="3" t="s">
        <v>151</v>
      </c>
    </row>
    <row r="159" spans="1:11" ht="12.5" x14ac:dyDescent="0.25">
      <c r="A159" s="2">
        <v>154</v>
      </c>
      <c r="B159" s="23">
        <v>46269</v>
      </c>
      <c r="C159" s="24">
        <v>0.36663194444444441</v>
      </c>
      <c r="D159" s="2">
        <v>11</v>
      </c>
      <c r="E159" s="2">
        <v>99</v>
      </c>
      <c r="F159" s="3">
        <v>1.107874</v>
      </c>
      <c r="G159" s="3">
        <v>103.97904699999999</v>
      </c>
      <c r="H159" s="2">
        <v>0</v>
      </c>
      <c r="I159" s="2">
        <v>13</v>
      </c>
      <c r="J159" s="2">
        <v>-42</v>
      </c>
      <c r="K159" s="3" t="s">
        <v>151</v>
      </c>
    </row>
    <row r="160" spans="1:11" ht="12.5" x14ac:dyDescent="0.25">
      <c r="A160" s="2">
        <v>155</v>
      </c>
      <c r="B160" s="23">
        <v>46269</v>
      </c>
      <c r="C160" s="24">
        <v>0.36670138888888887</v>
      </c>
      <c r="D160" s="2">
        <v>11</v>
      </c>
      <c r="E160" s="2">
        <v>99</v>
      </c>
      <c r="F160" s="3">
        <v>1.107872</v>
      </c>
      <c r="G160" s="3">
        <v>103.979051</v>
      </c>
      <c r="H160" s="2">
        <v>0</v>
      </c>
      <c r="I160" s="2">
        <v>13</v>
      </c>
      <c r="J160" s="2">
        <v>-42</v>
      </c>
      <c r="K160" s="3" t="s">
        <v>151</v>
      </c>
    </row>
    <row r="161" spans="1:11" ht="12.5" x14ac:dyDescent="0.25">
      <c r="A161" s="2">
        <v>156</v>
      </c>
      <c r="B161" s="23">
        <v>46269</v>
      </c>
      <c r="C161" s="24">
        <v>0.36679398148148151</v>
      </c>
      <c r="D161" s="2">
        <v>11</v>
      </c>
      <c r="E161" s="2">
        <v>99</v>
      </c>
      <c r="F161" s="3">
        <v>1.107869</v>
      </c>
      <c r="G161" s="3">
        <v>103.979066</v>
      </c>
      <c r="H161" s="2" t="s">
        <v>215</v>
      </c>
      <c r="I161" s="2">
        <v>13</v>
      </c>
      <c r="J161" s="2">
        <v>-56</v>
      </c>
      <c r="K161" s="3" t="s">
        <v>151</v>
      </c>
    </row>
    <row r="162" spans="1:11" ht="12.5" x14ac:dyDescent="0.25">
      <c r="A162" s="2">
        <v>157</v>
      </c>
      <c r="B162" s="23">
        <v>46269</v>
      </c>
      <c r="C162" s="24">
        <v>0.36686342592592597</v>
      </c>
      <c r="D162" s="2">
        <v>11</v>
      </c>
      <c r="E162" s="2">
        <v>99</v>
      </c>
      <c r="F162" s="3">
        <v>1.107863</v>
      </c>
      <c r="G162" s="3">
        <v>103.979063</v>
      </c>
      <c r="H162" s="2">
        <v>0</v>
      </c>
      <c r="I162" s="2">
        <v>12</v>
      </c>
      <c r="J162" s="2">
        <v>-61</v>
      </c>
      <c r="K162" s="3" t="s">
        <v>151</v>
      </c>
    </row>
    <row r="163" spans="1:11" ht="12.5" x14ac:dyDescent="0.25">
      <c r="A163" s="2">
        <v>158</v>
      </c>
      <c r="B163" s="23">
        <v>46269</v>
      </c>
      <c r="C163" s="24">
        <v>0.36693287037037042</v>
      </c>
      <c r="D163" s="2">
        <v>11</v>
      </c>
      <c r="E163" s="2">
        <v>99</v>
      </c>
      <c r="F163" s="3">
        <v>1.107863</v>
      </c>
      <c r="G163" s="3">
        <v>103.979066</v>
      </c>
      <c r="H163" s="2">
        <v>0</v>
      </c>
      <c r="I163" s="2">
        <v>12</v>
      </c>
      <c r="J163" s="2">
        <v>-55</v>
      </c>
      <c r="K163" s="3" t="s">
        <v>151</v>
      </c>
    </row>
    <row r="164" spans="1:11" ht="12.5" x14ac:dyDescent="0.25">
      <c r="A164" s="2">
        <v>159</v>
      </c>
      <c r="B164" s="23">
        <v>46269</v>
      </c>
      <c r="C164" s="24">
        <v>0.36700231481481477</v>
      </c>
      <c r="D164" s="2">
        <v>11</v>
      </c>
      <c r="E164" s="2">
        <v>99</v>
      </c>
      <c r="F164" s="3">
        <v>1.1078749999999999</v>
      </c>
      <c r="G164" s="3">
        <v>103.97908099999999</v>
      </c>
      <c r="H164" s="2" t="s">
        <v>216</v>
      </c>
      <c r="I164" s="2">
        <v>14</v>
      </c>
      <c r="J164" s="2">
        <v>-53</v>
      </c>
      <c r="K164" s="3" t="s">
        <v>151</v>
      </c>
    </row>
    <row r="165" spans="1:11" ht="12.5" x14ac:dyDescent="0.25">
      <c r="A165" s="2">
        <v>160</v>
      </c>
      <c r="B165" s="23">
        <v>46269</v>
      </c>
      <c r="C165" s="24">
        <v>0.36707175925925922</v>
      </c>
      <c r="D165" s="2">
        <v>11</v>
      </c>
      <c r="E165" s="2">
        <v>99</v>
      </c>
      <c r="F165" s="3">
        <v>1.107891</v>
      </c>
      <c r="G165" s="3">
        <v>103.97909900000001</v>
      </c>
      <c r="H165" s="2">
        <v>0</v>
      </c>
      <c r="I165" s="2">
        <v>14</v>
      </c>
      <c r="J165" s="2">
        <v>-58</v>
      </c>
      <c r="K165" s="3" t="s">
        <v>151</v>
      </c>
    </row>
    <row r="166" spans="1:11" ht="12.5" x14ac:dyDescent="0.25">
      <c r="A166" s="2">
        <v>161</v>
      </c>
      <c r="B166" s="23">
        <v>46269</v>
      </c>
      <c r="C166" s="24">
        <v>0.36714120370370368</v>
      </c>
      <c r="D166" s="2">
        <v>11</v>
      </c>
      <c r="E166" s="2">
        <v>99</v>
      </c>
      <c r="F166" s="3">
        <v>1.1078920000000001</v>
      </c>
      <c r="G166" s="3">
        <v>103.979101</v>
      </c>
      <c r="H166" s="2">
        <v>0</v>
      </c>
      <c r="I166" s="2">
        <v>14</v>
      </c>
      <c r="J166" s="2">
        <v>-43</v>
      </c>
      <c r="K166" s="3" t="s">
        <v>151</v>
      </c>
    </row>
    <row r="167" spans="1:11" ht="12.5" x14ac:dyDescent="0.25">
      <c r="A167" s="2">
        <v>162</v>
      </c>
      <c r="B167" s="23">
        <v>46269</v>
      </c>
      <c r="C167" s="24">
        <v>0.36721064814814813</v>
      </c>
      <c r="D167" s="2">
        <v>11</v>
      </c>
      <c r="E167" s="2">
        <v>99</v>
      </c>
      <c r="F167" s="3">
        <v>1.1078939999999999</v>
      </c>
      <c r="G167" s="3">
        <v>103.979102</v>
      </c>
      <c r="H167" s="2">
        <v>0</v>
      </c>
      <c r="I167" s="2">
        <v>14</v>
      </c>
      <c r="J167" s="2">
        <v>-45</v>
      </c>
      <c r="K167" s="3" t="s">
        <v>151</v>
      </c>
    </row>
    <row r="168" spans="1:11" ht="12.5" x14ac:dyDescent="0.25">
      <c r="A168" s="2">
        <v>163</v>
      </c>
      <c r="B168" s="23">
        <v>46269</v>
      </c>
      <c r="C168" s="24">
        <v>0.36728009259259259</v>
      </c>
      <c r="D168" s="2">
        <v>21</v>
      </c>
      <c r="E168" s="2">
        <v>99</v>
      </c>
      <c r="F168" s="3">
        <v>1.1078939999999999</v>
      </c>
      <c r="G168" s="3">
        <v>103.97910400000001</v>
      </c>
      <c r="H168" s="2">
        <v>0</v>
      </c>
      <c r="I168" s="2">
        <v>14</v>
      </c>
      <c r="J168" s="2">
        <v>-56</v>
      </c>
      <c r="K168" s="3" t="s">
        <v>151</v>
      </c>
    </row>
    <row r="169" spans="1:11" ht="12.5" x14ac:dyDescent="0.25">
      <c r="A169" s="2">
        <v>164</v>
      </c>
      <c r="B169" s="23">
        <v>46269</v>
      </c>
      <c r="C169" s="24">
        <v>0.36736111111111108</v>
      </c>
      <c r="D169" s="2">
        <v>21</v>
      </c>
      <c r="E169" s="2">
        <v>99</v>
      </c>
      <c r="F169" s="3">
        <v>1.107893</v>
      </c>
      <c r="G169" s="3">
        <v>103.979105</v>
      </c>
      <c r="H169" s="2">
        <v>0</v>
      </c>
      <c r="I169" s="2">
        <v>14</v>
      </c>
      <c r="J169" s="2">
        <v>-44</v>
      </c>
      <c r="K169" s="3" t="s">
        <v>151</v>
      </c>
    </row>
    <row r="170" spans="1:11" ht="12.5" x14ac:dyDescent="0.25">
      <c r="A170" s="2">
        <v>165</v>
      </c>
      <c r="B170" s="23">
        <v>46269</v>
      </c>
      <c r="C170" s="24">
        <v>0.3674189814814815</v>
      </c>
      <c r="D170" s="2">
        <v>21</v>
      </c>
      <c r="E170" s="2">
        <v>99</v>
      </c>
      <c r="F170" s="3">
        <v>1.1078939999999999</v>
      </c>
      <c r="G170" s="3">
        <v>103.979106</v>
      </c>
      <c r="H170" s="2">
        <v>0</v>
      </c>
      <c r="I170" s="2">
        <v>14</v>
      </c>
      <c r="J170" s="2">
        <v>-29</v>
      </c>
      <c r="K170" s="3" t="s">
        <v>151</v>
      </c>
    </row>
    <row r="171" spans="1:11" ht="12.5" x14ac:dyDescent="0.25">
      <c r="A171" s="2">
        <v>166</v>
      </c>
      <c r="B171" s="23">
        <v>46269</v>
      </c>
      <c r="C171" s="24">
        <v>0.3674884259259259</v>
      </c>
      <c r="D171" s="2">
        <v>21</v>
      </c>
      <c r="E171" s="2">
        <v>99</v>
      </c>
      <c r="F171" s="3">
        <v>1.1078939999999999</v>
      </c>
      <c r="G171" s="3">
        <v>103.979108</v>
      </c>
      <c r="H171" s="2">
        <v>0</v>
      </c>
      <c r="I171" s="2">
        <v>14</v>
      </c>
      <c r="J171" s="2">
        <v>-27</v>
      </c>
      <c r="K171" s="3" t="s">
        <v>151</v>
      </c>
    </row>
    <row r="172" spans="1:11" ht="12.5" x14ac:dyDescent="0.25">
      <c r="A172" s="2">
        <v>167</v>
      </c>
      <c r="B172" s="23">
        <v>46269</v>
      </c>
      <c r="C172" s="24">
        <v>0.36756944444444445</v>
      </c>
      <c r="D172" s="2">
        <v>44</v>
      </c>
      <c r="E172" s="2">
        <v>99</v>
      </c>
      <c r="F172" s="3">
        <v>1.1078920000000001</v>
      </c>
      <c r="G172" s="3">
        <v>103.979108</v>
      </c>
      <c r="H172" s="2">
        <v>0</v>
      </c>
      <c r="I172" s="2">
        <v>14</v>
      </c>
      <c r="J172" s="2">
        <v>-46</v>
      </c>
      <c r="K172" s="3" t="s">
        <v>151</v>
      </c>
    </row>
    <row r="173" spans="1:11" ht="12.5" x14ac:dyDescent="0.25">
      <c r="A173" s="2">
        <v>168</v>
      </c>
      <c r="B173" s="23">
        <v>46269</v>
      </c>
      <c r="C173" s="24">
        <v>0.36765046296296294</v>
      </c>
      <c r="D173" s="2">
        <v>44</v>
      </c>
      <c r="E173" s="2">
        <v>99</v>
      </c>
      <c r="F173" s="3">
        <v>1.107891</v>
      </c>
      <c r="G173" s="3">
        <v>103.97910899999999</v>
      </c>
      <c r="H173" s="2">
        <v>0</v>
      </c>
      <c r="I173" s="2">
        <v>14</v>
      </c>
      <c r="J173" s="2">
        <v>-48</v>
      </c>
      <c r="K173" s="3" t="s">
        <v>151</v>
      </c>
    </row>
    <row r="174" spans="1:11" ht="12.5" x14ac:dyDescent="0.25">
      <c r="A174" s="2">
        <v>169</v>
      </c>
      <c r="B174" s="23">
        <v>46269</v>
      </c>
      <c r="C174" s="24">
        <v>0.3677083333333333</v>
      </c>
      <c r="D174" s="2">
        <v>60</v>
      </c>
      <c r="E174" s="2">
        <v>99</v>
      </c>
      <c r="F174" s="3">
        <v>1.1078889999999999</v>
      </c>
      <c r="G174" s="3">
        <v>103.97910899999999</v>
      </c>
      <c r="H174" s="2">
        <v>0</v>
      </c>
      <c r="I174" s="2">
        <v>13</v>
      </c>
      <c r="J174" s="2">
        <v>-46</v>
      </c>
      <c r="K174" s="3" t="s">
        <v>13</v>
      </c>
    </row>
    <row r="175" spans="1:11" ht="12.5" x14ac:dyDescent="0.25">
      <c r="A175" s="2">
        <v>170</v>
      </c>
      <c r="B175" s="23">
        <v>46269</v>
      </c>
      <c r="C175" s="24">
        <v>0.36777777777777776</v>
      </c>
      <c r="D175" s="2">
        <v>62</v>
      </c>
      <c r="E175" s="2">
        <v>99</v>
      </c>
      <c r="F175" s="3">
        <v>1.1078859999999999</v>
      </c>
      <c r="G175" s="3">
        <v>103.97911000000001</v>
      </c>
      <c r="H175" s="2">
        <v>0</v>
      </c>
      <c r="I175" s="2">
        <v>14</v>
      </c>
      <c r="J175" s="2">
        <v>-37</v>
      </c>
      <c r="K175" s="3" t="s">
        <v>13</v>
      </c>
    </row>
    <row r="176" spans="1:11" ht="12.5" x14ac:dyDescent="0.25">
      <c r="A176" s="2">
        <v>171</v>
      </c>
      <c r="B176" s="23">
        <v>46269</v>
      </c>
      <c r="C176" s="24">
        <v>0.36784722222222221</v>
      </c>
      <c r="D176" s="2">
        <v>62</v>
      </c>
      <c r="E176" s="2">
        <v>99</v>
      </c>
      <c r="F176" s="3">
        <v>1.107885</v>
      </c>
      <c r="G176" s="3">
        <v>103.979111</v>
      </c>
      <c r="H176" s="2">
        <v>0</v>
      </c>
      <c r="I176" s="2">
        <v>14</v>
      </c>
      <c r="J176" s="2">
        <v>-32</v>
      </c>
      <c r="K176" s="3" t="s">
        <v>13</v>
      </c>
    </row>
    <row r="177" spans="1:11" ht="12.5" x14ac:dyDescent="0.25">
      <c r="A177" s="2">
        <v>172</v>
      </c>
      <c r="B177" s="23">
        <v>46269</v>
      </c>
      <c r="C177" s="24">
        <v>0.36791666666666667</v>
      </c>
      <c r="D177" s="2">
        <v>64</v>
      </c>
      <c r="E177" s="2">
        <v>99</v>
      </c>
      <c r="F177" s="3">
        <v>1.107883</v>
      </c>
      <c r="G177" s="3">
        <v>103.979112</v>
      </c>
      <c r="H177" s="2">
        <v>0</v>
      </c>
      <c r="I177" s="2">
        <v>14</v>
      </c>
      <c r="J177" s="2">
        <v>-41</v>
      </c>
      <c r="K177" s="3" t="s">
        <v>13</v>
      </c>
    </row>
    <row r="178" spans="1:11" ht="12.5" x14ac:dyDescent="0.25">
      <c r="A178" s="2">
        <v>173</v>
      </c>
      <c r="B178" s="23">
        <v>46269</v>
      </c>
      <c r="C178" s="24">
        <v>0.36800925925925926</v>
      </c>
      <c r="D178" s="2">
        <v>64</v>
      </c>
      <c r="E178" s="2">
        <v>99</v>
      </c>
      <c r="F178" s="3">
        <v>1.107874</v>
      </c>
      <c r="G178" s="3">
        <v>103.979125</v>
      </c>
      <c r="H178" s="2" t="s">
        <v>217</v>
      </c>
      <c r="I178" s="2">
        <v>14</v>
      </c>
      <c r="J178" s="2">
        <v>-47</v>
      </c>
      <c r="K178" s="3" t="s">
        <v>13</v>
      </c>
    </row>
    <row r="179" spans="1:11" ht="12.5" x14ac:dyDescent="0.25">
      <c r="A179" s="2">
        <v>174</v>
      </c>
      <c r="B179" s="23">
        <v>46269</v>
      </c>
      <c r="C179" s="24">
        <v>0.36805555555555558</v>
      </c>
      <c r="D179" s="2">
        <v>56</v>
      </c>
      <c r="E179" s="2">
        <v>99</v>
      </c>
      <c r="F179" s="3">
        <v>1.107872</v>
      </c>
      <c r="G179" s="3">
        <v>103.979136</v>
      </c>
      <c r="H179" s="2" t="s">
        <v>218</v>
      </c>
      <c r="I179" s="2">
        <v>14</v>
      </c>
      <c r="J179" s="2">
        <v>-66</v>
      </c>
      <c r="K179" s="3" t="s">
        <v>13</v>
      </c>
    </row>
    <row r="180" spans="1:11" ht="12.5" x14ac:dyDescent="0.25">
      <c r="A180" s="2">
        <v>175</v>
      </c>
      <c r="B180" s="23">
        <v>46269</v>
      </c>
      <c r="C180" s="24">
        <v>0.36817129629629625</v>
      </c>
      <c r="D180" s="2">
        <v>56</v>
      </c>
      <c r="E180" s="2">
        <v>99</v>
      </c>
      <c r="F180" s="3">
        <v>1.1078760000000001</v>
      </c>
      <c r="G180" s="3">
        <v>103.979146</v>
      </c>
      <c r="H180" s="2">
        <v>0</v>
      </c>
      <c r="I180" s="2">
        <v>14</v>
      </c>
      <c r="J180" s="2">
        <v>-55</v>
      </c>
      <c r="K180" s="3" t="s">
        <v>13</v>
      </c>
    </row>
    <row r="181" spans="1:11" ht="12.5" x14ac:dyDescent="0.25">
      <c r="A181" s="2">
        <v>176</v>
      </c>
      <c r="B181" s="23">
        <v>46269</v>
      </c>
      <c r="C181" s="24">
        <v>0.36822916666666666</v>
      </c>
      <c r="D181" s="2">
        <v>56</v>
      </c>
      <c r="E181" s="2">
        <v>99</v>
      </c>
      <c r="F181" s="3">
        <v>1.1078710000000001</v>
      </c>
      <c r="G181" s="3">
        <v>103.979148</v>
      </c>
      <c r="H181" s="2">
        <v>0</v>
      </c>
      <c r="I181" s="2">
        <v>14</v>
      </c>
      <c r="J181" s="2">
        <v>-49</v>
      </c>
      <c r="K181" s="3" t="s">
        <v>13</v>
      </c>
    </row>
    <row r="182" spans="1:11" ht="12.5" x14ac:dyDescent="0.25">
      <c r="A182" s="2">
        <v>177</v>
      </c>
      <c r="B182" s="23">
        <v>46269</v>
      </c>
      <c r="C182" s="24">
        <v>0.36829861111111112</v>
      </c>
      <c r="D182" s="2">
        <v>56</v>
      </c>
      <c r="E182" s="2">
        <v>99</v>
      </c>
      <c r="F182" s="3">
        <v>1.107872</v>
      </c>
      <c r="G182" s="3">
        <v>103.979147</v>
      </c>
      <c r="H182" s="2">
        <v>0</v>
      </c>
      <c r="I182" s="2">
        <v>14</v>
      </c>
      <c r="J182" s="2">
        <v>-48</v>
      </c>
      <c r="K182" s="3" t="s">
        <v>13</v>
      </c>
    </row>
    <row r="183" spans="1:11" ht="12.5" x14ac:dyDescent="0.25">
      <c r="A183" s="2">
        <v>178</v>
      </c>
      <c r="B183" s="23">
        <v>46269</v>
      </c>
      <c r="C183" s="24">
        <v>0.36836805555555557</v>
      </c>
      <c r="D183" s="2">
        <v>56</v>
      </c>
      <c r="E183" s="2">
        <v>99</v>
      </c>
      <c r="F183" s="3">
        <v>1.1078730000000001</v>
      </c>
      <c r="G183" s="3">
        <v>103.97914400000001</v>
      </c>
      <c r="H183" s="2">
        <v>0</v>
      </c>
      <c r="I183" s="2">
        <v>14</v>
      </c>
      <c r="J183" s="2">
        <v>-47</v>
      </c>
      <c r="K183" s="3" t="s">
        <v>13</v>
      </c>
    </row>
    <row r="184" spans="1:11" ht="12.5" x14ac:dyDescent="0.25">
      <c r="A184" s="2">
        <v>179</v>
      </c>
      <c r="B184" s="23">
        <v>46269</v>
      </c>
      <c r="C184" s="24">
        <v>0.36843749999999997</v>
      </c>
      <c r="D184" s="2">
        <v>56</v>
      </c>
      <c r="E184" s="2">
        <v>99</v>
      </c>
      <c r="F184" s="3">
        <v>1.1078699999999999</v>
      </c>
      <c r="G184" s="3">
        <v>103.97912100000001</v>
      </c>
      <c r="H184" s="2" t="s">
        <v>219</v>
      </c>
      <c r="I184" s="2">
        <v>13</v>
      </c>
      <c r="J184" s="2">
        <v>-55</v>
      </c>
      <c r="K184" s="3" t="s">
        <v>13</v>
      </c>
    </row>
    <row r="185" spans="1:11" ht="12.5" x14ac:dyDescent="0.25">
      <c r="A185" s="2">
        <v>180</v>
      </c>
      <c r="B185" s="23">
        <v>46269</v>
      </c>
      <c r="C185" s="24">
        <v>0.36850694444444443</v>
      </c>
      <c r="D185" s="2">
        <v>56</v>
      </c>
      <c r="E185" s="2">
        <v>99</v>
      </c>
      <c r="F185" s="3">
        <v>1.1078669999999999</v>
      </c>
      <c r="G185" s="3">
        <v>103.979119</v>
      </c>
      <c r="H185" s="2">
        <v>0</v>
      </c>
      <c r="I185" s="2">
        <v>15</v>
      </c>
      <c r="J185" s="2">
        <v>-55</v>
      </c>
      <c r="K185" s="3" t="s">
        <v>13</v>
      </c>
    </row>
    <row r="186" spans="1:11" ht="12.5" x14ac:dyDescent="0.25">
      <c r="A186" s="2">
        <v>181</v>
      </c>
      <c r="B186" s="23">
        <v>46269</v>
      </c>
      <c r="C186" s="24">
        <v>0.36857638888888888</v>
      </c>
      <c r="D186" s="2">
        <v>56</v>
      </c>
      <c r="E186" s="2">
        <v>99</v>
      </c>
      <c r="F186" s="3">
        <v>1.107863</v>
      </c>
      <c r="G186" s="3">
        <v>103.979106</v>
      </c>
      <c r="H186" s="2">
        <v>0</v>
      </c>
      <c r="I186" s="2">
        <v>15</v>
      </c>
      <c r="J186" s="2">
        <v>-55</v>
      </c>
      <c r="K186" s="3" t="s">
        <v>13</v>
      </c>
    </row>
    <row r="187" spans="1:11" ht="12.5" x14ac:dyDescent="0.25">
      <c r="A187" s="2">
        <v>182</v>
      </c>
      <c r="B187" s="23">
        <v>46269</v>
      </c>
      <c r="C187" s="24">
        <v>0.36864583333333334</v>
      </c>
      <c r="D187" s="2">
        <v>53</v>
      </c>
      <c r="E187" s="2">
        <v>99</v>
      </c>
      <c r="F187" s="3">
        <v>1.1078619999999999</v>
      </c>
      <c r="G187" s="3">
        <v>103.979108</v>
      </c>
      <c r="H187" s="2">
        <v>0</v>
      </c>
      <c r="I187" s="2">
        <v>15</v>
      </c>
      <c r="J187" s="2">
        <v>-60</v>
      </c>
      <c r="K187" s="3" t="s">
        <v>13</v>
      </c>
    </row>
    <row r="188" spans="1:11" ht="12.5" x14ac:dyDescent="0.25">
      <c r="A188" s="2">
        <v>183</v>
      </c>
      <c r="B188" s="23">
        <v>46269</v>
      </c>
      <c r="C188" s="24">
        <v>0.36871527777777779</v>
      </c>
      <c r="D188" s="2">
        <v>53</v>
      </c>
      <c r="E188" s="2">
        <v>99</v>
      </c>
      <c r="F188" s="3">
        <v>1.1078600000000001</v>
      </c>
      <c r="G188" s="3">
        <v>103.97911000000001</v>
      </c>
      <c r="H188" s="2">
        <v>0</v>
      </c>
      <c r="I188" s="2">
        <v>15</v>
      </c>
      <c r="J188" s="2">
        <v>-49</v>
      </c>
      <c r="K188" s="3" t="s">
        <v>13</v>
      </c>
    </row>
    <row r="189" spans="1:11" ht="12.5" x14ac:dyDescent="0.25">
      <c r="A189" s="2">
        <v>184</v>
      </c>
      <c r="B189" s="23">
        <v>46269</v>
      </c>
      <c r="C189" s="24">
        <v>0.36884259259259261</v>
      </c>
      <c r="D189" s="2">
        <v>56</v>
      </c>
      <c r="E189" s="2">
        <v>99</v>
      </c>
      <c r="F189" s="3">
        <v>1.1078600000000001</v>
      </c>
      <c r="G189" s="3">
        <v>103.979114</v>
      </c>
      <c r="H189" s="2">
        <v>0</v>
      </c>
      <c r="I189" s="2">
        <v>15</v>
      </c>
      <c r="J189" s="2">
        <v>-69</v>
      </c>
      <c r="K189" s="3" t="s">
        <v>13</v>
      </c>
    </row>
    <row r="190" spans="1:11" ht="12.5" x14ac:dyDescent="0.25">
      <c r="A190" s="2">
        <v>185</v>
      </c>
      <c r="B190" s="23">
        <v>46269</v>
      </c>
      <c r="C190" s="24">
        <v>0.3689236111111111</v>
      </c>
      <c r="D190" s="2">
        <v>56</v>
      </c>
      <c r="E190" s="2">
        <v>99</v>
      </c>
      <c r="F190" s="3">
        <v>1.1078589999999999</v>
      </c>
      <c r="G190" s="3">
        <v>103.97911499999999</v>
      </c>
      <c r="H190" s="2">
        <v>0</v>
      </c>
      <c r="I190" s="2">
        <v>15</v>
      </c>
      <c r="J190" s="2">
        <v>-48</v>
      </c>
      <c r="K190" s="3" t="s">
        <v>13</v>
      </c>
    </row>
    <row r="191" spans="1:11" ht="12.5" x14ac:dyDescent="0.25">
      <c r="A191" s="2">
        <v>186</v>
      </c>
      <c r="B191" s="23">
        <v>46269</v>
      </c>
      <c r="C191" s="24">
        <v>0.36899305555555556</v>
      </c>
      <c r="D191" s="2">
        <v>56</v>
      </c>
      <c r="E191" s="2">
        <v>99</v>
      </c>
      <c r="F191" s="3">
        <v>1.1078619999999999</v>
      </c>
      <c r="G191" s="3">
        <v>103.979117</v>
      </c>
      <c r="H191" s="2">
        <v>0</v>
      </c>
      <c r="I191" s="2">
        <v>15</v>
      </c>
      <c r="J191" s="2">
        <v>-61</v>
      </c>
      <c r="K191" s="3" t="s">
        <v>13</v>
      </c>
    </row>
    <row r="192" spans="1:11" ht="12.5" x14ac:dyDescent="0.25">
      <c r="A192" s="2">
        <v>187</v>
      </c>
      <c r="B192" s="23">
        <v>46269</v>
      </c>
      <c r="C192" s="24">
        <v>0.36907407407407411</v>
      </c>
      <c r="D192" s="2">
        <v>56</v>
      </c>
      <c r="E192" s="2">
        <v>99</v>
      </c>
      <c r="F192" s="3">
        <v>1.107864</v>
      </c>
      <c r="G192" s="3">
        <v>103.979114</v>
      </c>
      <c r="H192" s="2">
        <v>0</v>
      </c>
      <c r="I192" s="2">
        <v>15</v>
      </c>
      <c r="J192" s="2">
        <v>-56</v>
      </c>
      <c r="K192" s="3" t="s">
        <v>13</v>
      </c>
    </row>
    <row r="193" spans="1:11" ht="12.5" x14ac:dyDescent="0.25">
      <c r="A193" s="2">
        <v>188</v>
      </c>
      <c r="B193" s="23">
        <v>46269</v>
      </c>
      <c r="C193" s="24">
        <v>0.36914351851851851</v>
      </c>
      <c r="D193" s="2">
        <v>56</v>
      </c>
      <c r="E193" s="2">
        <v>99</v>
      </c>
      <c r="F193" s="3">
        <v>1.1078650000000001</v>
      </c>
      <c r="G193" s="3">
        <v>103.97911499999999</v>
      </c>
      <c r="H193" s="2">
        <v>0</v>
      </c>
      <c r="I193" s="2">
        <v>15</v>
      </c>
      <c r="J193" s="2">
        <v>-56</v>
      </c>
      <c r="K193" s="3" t="s">
        <v>13</v>
      </c>
    </row>
    <row r="194" spans="1:11" ht="12.5" x14ac:dyDescent="0.25">
      <c r="A194" s="2">
        <v>189</v>
      </c>
      <c r="B194" s="23">
        <v>46269</v>
      </c>
      <c r="C194" s="24">
        <v>0.36921296296296297</v>
      </c>
      <c r="D194" s="2">
        <v>56</v>
      </c>
      <c r="E194" s="2">
        <v>99</v>
      </c>
      <c r="F194" s="3">
        <v>1.1078650000000001</v>
      </c>
      <c r="G194" s="3">
        <v>103.979117</v>
      </c>
      <c r="H194" s="2">
        <v>0</v>
      </c>
      <c r="I194" s="2">
        <v>15</v>
      </c>
      <c r="J194" s="2">
        <v>-49</v>
      </c>
      <c r="K194" s="3" t="s">
        <v>13</v>
      </c>
    </row>
    <row r="195" spans="1:11" ht="12.5" x14ac:dyDescent="0.25">
      <c r="A195" s="2">
        <v>190</v>
      </c>
      <c r="B195" s="23">
        <v>46269</v>
      </c>
      <c r="C195" s="24">
        <v>0.36928240740740742</v>
      </c>
      <c r="D195" s="2">
        <v>56</v>
      </c>
      <c r="E195" s="2">
        <v>99</v>
      </c>
      <c r="F195" s="3">
        <v>1.107864</v>
      </c>
      <c r="G195" s="3">
        <v>103.97911999999999</v>
      </c>
      <c r="H195" s="2">
        <v>0</v>
      </c>
      <c r="I195" s="2">
        <v>15</v>
      </c>
      <c r="J195" s="2">
        <v>-61</v>
      </c>
      <c r="K195" s="3" t="s">
        <v>13</v>
      </c>
    </row>
    <row r="196" spans="1:11" ht="12.5" x14ac:dyDescent="0.25">
      <c r="A196" s="2">
        <v>191</v>
      </c>
      <c r="B196" s="23">
        <v>46269</v>
      </c>
      <c r="C196" s="24">
        <v>0.36936342592592591</v>
      </c>
      <c r="D196" s="2">
        <v>56</v>
      </c>
      <c r="E196" s="2">
        <v>99</v>
      </c>
      <c r="F196" s="3">
        <v>1.107864</v>
      </c>
      <c r="G196" s="3">
        <v>103.979122</v>
      </c>
      <c r="H196" s="2">
        <v>0</v>
      </c>
      <c r="I196" s="2">
        <v>15</v>
      </c>
      <c r="J196" s="2">
        <v>-48</v>
      </c>
      <c r="K196" s="3" t="s">
        <v>13</v>
      </c>
    </row>
    <row r="197" spans="1:11" ht="12.5" x14ac:dyDescent="0.25">
      <c r="A197" s="2">
        <v>192</v>
      </c>
      <c r="B197" s="23">
        <v>46269</v>
      </c>
      <c r="C197" s="24">
        <v>0.36943287037037037</v>
      </c>
      <c r="D197" s="2">
        <v>56</v>
      </c>
      <c r="E197" s="2">
        <v>99</v>
      </c>
      <c r="F197" s="3">
        <v>1.107855</v>
      </c>
      <c r="G197" s="3">
        <v>103.97914400000001</v>
      </c>
      <c r="H197" s="2" t="s">
        <v>220</v>
      </c>
      <c r="I197" s="2">
        <v>15</v>
      </c>
      <c r="J197" s="2">
        <v>-44</v>
      </c>
      <c r="K197" s="3" t="s">
        <v>13</v>
      </c>
    </row>
    <row r="198" spans="1:11" ht="12.5" x14ac:dyDescent="0.25">
      <c r="A198" s="2">
        <v>193</v>
      </c>
      <c r="B198" s="23">
        <v>46269</v>
      </c>
      <c r="C198" s="24">
        <v>0.36949074074074079</v>
      </c>
      <c r="D198" s="2">
        <v>56</v>
      </c>
      <c r="E198" s="2">
        <v>99</v>
      </c>
      <c r="F198" s="3">
        <v>1.1078509999999999</v>
      </c>
      <c r="G198" s="3">
        <v>103.97915</v>
      </c>
      <c r="H198" s="2">
        <v>0</v>
      </c>
      <c r="I198" s="2">
        <v>14</v>
      </c>
      <c r="J198" s="2">
        <v>-45</v>
      </c>
      <c r="K198" s="3" t="s">
        <v>13</v>
      </c>
    </row>
    <row r="199" spans="1:11" ht="12.5" x14ac:dyDescent="0.25">
      <c r="A199" s="2">
        <v>194</v>
      </c>
      <c r="B199" s="23">
        <v>46269</v>
      </c>
      <c r="C199" s="24">
        <v>0.36956018518518513</v>
      </c>
      <c r="D199" s="2">
        <v>56</v>
      </c>
      <c r="E199" s="2">
        <v>99</v>
      </c>
      <c r="F199" s="3">
        <v>1.10785</v>
      </c>
      <c r="G199" s="3">
        <v>103.97915399999999</v>
      </c>
      <c r="H199" s="2">
        <v>0</v>
      </c>
      <c r="I199" s="2">
        <v>15</v>
      </c>
      <c r="J199" s="2">
        <v>-44</v>
      </c>
      <c r="K199" s="3" t="s">
        <v>13</v>
      </c>
    </row>
    <row r="200" spans="1:11" ht="12.5" x14ac:dyDescent="0.25">
      <c r="A200" s="2">
        <v>195</v>
      </c>
      <c r="B200" s="23">
        <v>46269</v>
      </c>
      <c r="C200" s="24">
        <v>0.36964120370370374</v>
      </c>
      <c r="D200" s="2">
        <v>56</v>
      </c>
      <c r="E200" s="2">
        <v>99</v>
      </c>
      <c r="F200" s="3">
        <v>1.1078490000000001</v>
      </c>
      <c r="G200" s="3">
        <v>103.97915399999999</v>
      </c>
      <c r="H200" s="2">
        <v>0</v>
      </c>
      <c r="I200" s="2">
        <v>15</v>
      </c>
      <c r="J200" s="2">
        <v>-37</v>
      </c>
      <c r="K200" s="3" t="s">
        <v>13</v>
      </c>
    </row>
    <row r="201" spans="1:11" ht="12.5" x14ac:dyDescent="0.25">
      <c r="A201" s="2">
        <v>196</v>
      </c>
      <c r="B201" s="23">
        <v>46269</v>
      </c>
      <c r="C201" s="24">
        <v>0.36972222222222223</v>
      </c>
      <c r="D201" s="2">
        <v>56</v>
      </c>
      <c r="E201" s="2">
        <v>99</v>
      </c>
      <c r="F201" s="3">
        <v>1.10785</v>
      </c>
      <c r="G201" s="3">
        <v>103.97914900000001</v>
      </c>
      <c r="H201" s="2">
        <v>0</v>
      </c>
      <c r="I201" s="2">
        <v>14</v>
      </c>
      <c r="J201" s="2">
        <v>-36</v>
      </c>
      <c r="K201" s="3" t="s">
        <v>13</v>
      </c>
    </row>
    <row r="202" spans="1:11" ht="12.5" x14ac:dyDescent="0.25">
      <c r="A202" s="2">
        <v>197</v>
      </c>
      <c r="B202" s="23">
        <v>46269</v>
      </c>
      <c r="C202" s="24">
        <v>0.36980324074074072</v>
      </c>
      <c r="D202" s="2">
        <v>56</v>
      </c>
      <c r="E202" s="2">
        <v>99</v>
      </c>
      <c r="F202" s="3">
        <v>1.1078440000000001</v>
      </c>
      <c r="G202" s="3">
        <v>103.97915</v>
      </c>
      <c r="H202" s="2">
        <v>0</v>
      </c>
      <c r="I202" s="2">
        <v>15</v>
      </c>
      <c r="J202" s="2">
        <v>-40</v>
      </c>
      <c r="K202" s="3" t="s">
        <v>13</v>
      </c>
    </row>
    <row r="203" spans="1:11" ht="12.5" x14ac:dyDescent="0.25">
      <c r="A203" s="2">
        <v>198</v>
      </c>
      <c r="B203" s="23">
        <v>46269</v>
      </c>
      <c r="C203" s="24">
        <v>0.36987268518518518</v>
      </c>
      <c r="D203" s="2">
        <v>56</v>
      </c>
      <c r="E203" s="2">
        <v>99</v>
      </c>
      <c r="F203" s="3">
        <v>1.10785</v>
      </c>
      <c r="G203" s="3">
        <v>103.979156</v>
      </c>
      <c r="H203" s="2" t="s">
        <v>221</v>
      </c>
      <c r="I203" s="2">
        <v>15</v>
      </c>
      <c r="J203" s="2">
        <v>-42</v>
      </c>
      <c r="K203" s="3" t="s">
        <v>13</v>
      </c>
    </row>
    <row r="204" spans="1:11" ht="12.5" x14ac:dyDescent="0.25">
      <c r="A204" s="2">
        <v>199</v>
      </c>
      <c r="B204" s="23">
        <v>46269</v>
      </c>
      <c r="C204" s="24">
        <v>0.36994212962962963</v>
      </c>
      <c r="D204" s="2">
        <v>56</v>
      </c>
      <c r="E204" s="2">
        <v>99</v>
      </c>
      <c r="F204" s="3">
        <v>1.107853</v>
      </c>
      <c r="G204" s="3">
        <v>103.979153</v>
      </c>
      <c r="H204" s="2">
        <v>0</v>
      </c>
      <c r="I204" s="2">
        <v>15</v>
      </c>
      <c r="J204" s="2">
        <v>-41</v>
      </c>
      <c r="K204" s="3" t="s">
        <v>13</v>
      </c>
    </row>
    <row r="205" spans="1:11" ht="12.5" x14ac:dyDescent="0.25">
      <c r="A205" s="2">
        <v>200</v>
      </c>
      <c r="B205" s="23">
        <v>46269</v>
      </c>
      <c r="C205" s="24">
        <v>0.37002314814814818</v>
      </c>
      <c r="D205" s="2">
        <v>56</v>
      </c>
      <c r="E205" s="2">
        <v>99</v>
      </c>
      <c r="F205" s="3">
        <v>1.107858</v>
      </c>
      <c r="G205" s="3">
        <v>103.979153</v>
      </c>
      <c r="H205" s="2">
        <v>0</v>
      </c>
      <c r="I205" s="2">
        <v>15</v>
      </c>
      <c r="J205" s="2">
        <v>-42</v>
      </c>
      <c r="K205" s="3" t="s">
        <v>13</v>
      </c>
    </row>
    <row r="206" spans="1:11" ht="12.5" x14ac:dyDescent="0.25">
      <c r="A206" s="2">
        <v>201</v>
      </c>
      <c r="B206" s="23">
        <v>46269</v>
      </c>
      <c r="C206" s="24">
        <v>0.37009259259259258</v>
      </c>
      <c r="D206" s="2">
        <v>56</v>
      </c>
      <c r="E206" s="2">
        <v>99</v>
      </c>
      <c r="F206" s="3">
        <v>1.1078650000000001</v>
      </c>
      <c r="G206" s="3">
        <v>103.97915</v>
      </c>
      <c r="H206" s="2" t="s">
        <v>214</v>
      </c>
      <c r="I206" s="2">
        <v>15</v>
      </c>
      <c r="J206" s="2">
        <v>-48</v>
      </c>
      <c r="K206" s="3" t="s">
        <v>13</v>
      </c>
    </row>
    <row r="207" spans="1:11" ht="12.5" x14ac:dyDescent="0.25">
      <c r="A207" s="2">
        <v>202</v>
      </c>
      <c r="B207" s="23">
        <v>46269</v>
      </c>
      <c r="C207" s="24">
        <v>0.37016203703703704</v>
      </c>
      <c r="D207" s="2">
        <v>56</v>
      </c>
      <c r="E207" s="2">
        <v>99</v>
      </c>
      <c r="F207" s="3">
        <v>1.107866</v>
      </c>
      <c r="G207" s="3">
        <v>103.979152</v>
      </c>
      <c r="H207" s="2">
        <v>0</v>
      </c>
      <c r="I207" s="2">
        <v>14</v>
      </c>
      <c r="J207" s="2">
        <v>-43</v>
      </c>
      <c r="K207" s="3" t="s">
        <v>13</v>
      </c>
    </row>
    <row r="208" spans="1:11" ht="12.5" x14ac:dyDescent="0.25">
      <c r="A208" s="2">
        <v>203</v>
      </c>
      <c r="B208" s="23">
        <v>46269</v>
      </c>
      <c r="C208" s="24">
        <v>0.37021990740740746</v>
      </c>
      <c r="D208" s="2">
        <v>56</v>
      </c>
      <c r="E208" s="2">
        <v>99</v>
      </c>
      <c r="F208" s="3">
        <v>1.1078710000000001</v>
      </c>
      <c r="G208" s="3">
        <v>103.97915399999999</v>
      </c>
      <c r="H208" s="2">
        <v>0</v>
      </c>
      <c r="I208" s="2">
        <v>14</v>
      </c>
      <c r="J208" s="2">
        <v>-42</v>
      </c>
      <c r="K208" s="3" t="s">
        <v>13</v>
      </c>
    </row>
    <row r="209" spans="1:28" ht="12.5" x14ac:dyDescent="0.25">
      <c r="A209" s="2">
        <v>204</v>
      </c>
      <c r="B209" s="23">
        <v>46269</v>
      </c>
      <c r="C209" s="24">
        <v>0.3702893518518518</v>
      </c>
      <c r="D209" s="2">
        <v>56</v>
      </c>
      <c r="E209" s="2">
        <v>99</v>
      </c>
      <c r="F209" s="3">
        <v>1.107872</v>
      </c>
      <c r="G209" s="3">
        <v>103.979164</v>
      </c>
      <c r="H209" s="2">
        <v>0</v>
      </c>
      <c r="I209" s="2">
        <v>14</v>
      </c>
      <c r="J209" s="2">
        <v>-35</v>
      </c>
      <c r="K209" s="3" t="s">
        <v>13</v>
      </c>
    </row>
    <row r="210" spans="1:28" ht="12.5" x14ac:dyDescent="0.25">
      <c r="A210" s="2">
        <v>205</v>
      </c>
      <c r="B210" s="23">
        <v>46269</v>
      </c>
      <c r="C210" s="24">
        <v>0.37035879629629626</v>
      </c>
      <c r="D210" s="2">
        <v>56</v>
      </c>
      <c r="E210" s="2">
        <v>99</v>
      </c>
      <c r="F210" s="3">
        <v>1.1078710000000001</v>
      </c>
      <c r="G210" s="3">
        <v>103.97915399999999</v>
      </c>
      <c r="H210" s="2" t="s">
        <v>222</v>
      </c>
      <c r="I210" s="2">
        <v>15</v>
      </c>
      <c r="J210" s="2">
        <v>-40</v>
      </c>
      <c r="K210" s="3" t="s">
        <v>13</v>
      </c>
    </row>
    <row r="211" spans="1:28" ht="12.5" x14ac:dyDescent="0.25">
      <c r="A211" s="2">
        <v>206</v>
      </c>
      <c r="B211" s="23">
        <v>46269</v>
      </c>
      <c r="C211" s="24">
        <v>0.37043981481481486</v>
      </c>
      <c r="D211" s="2">
        <v>56</v>
      </c>
      <c r="E211" s="2">
        <v>99</v>
      </c>
      <c r="F211" s="3">
        <v>1.107874</v>
      </c>
      <c r="G211" s="3">
        <v>103.979152</v>
      </c>
      <c r="H211" s="2">
        <v>0</v>
      </c>
      <c r="I211" s="2">
        <v>15</v>
      </c>
      <c r="J211" s="2">
        <v>-40</v>
      </c>
      <c r="K211" s="3" t="s">
        <v>13</v>
      </c>
    </row>
    <row r="212" spans="1:28" ht="12.5" x14ac:dyDescent="0.25">
      <c r="A212" s="2">
        <v>207</v>
      </c>
      <c r="B212" s="23">
        <v>46269</v>
      </c>
      <c r="C212" s="24">
        <v>0.3705092592592592</v>
      </c>
      <c r="D212" s="2">
        <v>56</v>
      </c>
      <c r="E212" s="2">
        <v>99</v>
      </c>
      <c r="F212" s="3">
        <v>1.107874</v>
      </c>
      <c r="G212" s="3">
        <v>103.979152</v>
      </c>
      <c r="H212" s="2">
        <v>0</v>
      </c>
      <c r="I212" s="2">
        <v>15</v>
      </c>
      <c r="J212" s="2">
        <v>-38</v>
      </c>
      <c r="K212" s="3" t="s">
        <v>13</v>
      </c>
    </row>
    <row r="213" spans="1:28" ht="12.5" x14ac:dyDescent="0.25">
      <c r="A213" s="2">
        <v>208</v>
      </c>
      <c r="B213" s="23">
        <v>46269</v>
      </c>
      <c r="C213" s="24">
        <v>0.37057870370370366</v>
      </c>
      <c r="D213" s="2">
        <v>72</v>
      </c>
      <c r="E213" s="2">
        <v>99</v>
      </c>
      <c r="F213" s="3">
        <v>1.1078710000000001</v>
      </c>
      <c r="G213" s="3">
        <v>103.97915399999999</v>
      </c>
      <c r="H213" s="2">
        <v>0</v>
      </c>
      <c r="I213" s="2">
        <v>15</v>
      </c>
      <c r="J213" s="2">
        <v>-40</v>
      </c>
      <c r="K213" s="3" t="s">
        <v>13</v>
      </c>
    </row>
    <row r="214" spans="1:28" ht="12.5" x14ac:dyDescent="0.25">
      <c r="A214" s="2">
        <v>209</v>
      </c>
      <c r="B214" s="23">
        <v>46269</v>
      </c>
      <c r="C214" s="24">
        <v>0.37064814814814812</v>
      </c>
      <c r="D214" s="2">
        <v>64</v>
      </c>
      <c r="E214" s="2">
        <v>99</v>
      </c>
      <c r="F214" s="3">
        <v>1.1078680000000001</v>
      </c>
      <c r="G214" s="3">
        <v>103.979153</v>
      </c>
      <c r="H214" s="2">
        <v>0</v>
      </c>
      <c r="I214" s="2">
        <v>15</v>
      </c>
      <c r="J214" s="2">
        <v>-39</v>
      </c>
      <c r="K214" s="3" t="s">
        <v>13</v>
      </c>
    </row>
    <row r="215" spans="1:28" ht="12.5" x14ac:dyDescent="0.25">
      <c r="A215" s="2">
        <v>210</v>
      </c>
      <c r="B215" s="23">
        <v>46269</v>
      </c>
      <c r="C215" s="24">
        <v>0.37071759259259257</v>
      </c>
      <c r="D215" s="2">
        <v>64</v>
      </c>
      <c r="E215" s="2">
        <v>99</v>
      </c>
      <c r="F215" s="3">
        <v>1.1078669999999999</v>
      </c>
      <c r="G215" s="3">
        <v>103.979153</v>
      </c>
      <c r="H215" s="2">
        <v>0</v>
      </c>
      <c r="I215" s="2">
        <v>15</v>
      </c>
      <c r="J215" s="2">
        <v>-49</v>
      </c>
      <c r="K215" s="3" t="s">
        <v>13</v>
      </c>
    </row>
    <row r="216" spans="1:28" ht="12.5" x14ac:dyDescent="0.25">
      <c r="A216" s="2">
        <v>211</v>
      </c>
      <c r="B216" s="23">
        <v>46269</v>
      </c>
      <c r="C216" s="24">
        <v>0.37078703703703703</v>
      </c>
      <c r="D216" s="2">
        <v>64</v>
      </c>
      <c r="E216" s="2">
        <v>99</v>
      </c>
      <c r="F216" s="3">
        <v>1.107866</v>
      </c>
      <c r="G216" s="3">
        <v>103.979158</v>
      </c>
      <c r="H216" s="2" t="s">
        <v>223</v>
      </c>
      <c r="I216" s="2">
        <v>15</v>
      </c>
      <c r="J216" s="2">
        <v>-49</v>
      </c>
      <c r="K216" s="3" t="s">
        <v>13</v>
      </c>
    </row>
    <row r="217" spans="1:28" ht="12.5" x14ac:dyDescent="0.25">
      <c r="A217" s="2">
        <v>212</v>
      </c>
      <c r="B217" s="23">
        <v>46269</v>
      </c>
      <c r="C217" s="24">
        <v>0.37094907407407413</v>
      </c>
      <c r="D217" s="2">
        <v>0</v>
      </c>
      <c r="E217" s="2">
        <v>0</v>
      </c>
      <c r="F217" s="3">
        <v>1.107863</v>
      </c>
      <c r="G217" s="3">
        <v>103.979157</v>
      </c>
      <c r="H217" s="2">
        <v>0</v>
      </c>
      <c r="I217" s="2">
        <v>15</v>
      </c>
      <c r="J217" s="2">
        <v>-51</v>
      </c>
      <c r="K217" s="4" t="s">
        <v>94</v>
      </c>
    </row>
    <row r="218" spans="1:28" ht="12.5" x14ac:dyDescent="0.25">
      <c r="A218" s="2">
        <v>213</v>
      </c>
      <c r="B218" s="23">
        <v>46269</v>
      </c>
      <c r="C218" s="24">
        <v>0.37097222222222226</v>
      </c>
      <c r="D218" s="2">
        <v>64</v>
      </c>
      <c r="E218" s="2">
        <v>99</v>
      </c>
      <c r="F218" s="3">
        <v>1.107864</v>
      </c>
      <c r="G218" s="3">
        <v>103.979157</v>
      </c>
      <c r="H218" s="2">
        <v>0</v>
      </c>
      <c r="I218" s="2">
        <v>15</v>
      </c>
      <c r="J218" s="2">
        <v>-47</v>
      </c>
      <c r="K218" s="3" t="s">
        <v>13</v>
      </c>
    </row>
    <row r="219" spans="1:28" ht="12.5" x14ac:dyDescent="0.25">
      <c r="A219" s="2">
        <v>214</v>
      </c>
      <c r="B219" s="23">
        <v>46269</v>
      </c>
      <c r="C219" s="24">
        <v>0.37101851851851847</v>
      </c>
      <c r="D219" s="2">
        <v>0</v>
      </c>
      <c r="E219" s="2">
        <v>0</v>
      </c>
      <c r="F219" s="3">
        <v>1.1078600000000001</v>
      </c>
      <c r="G219" s="3">
        <v>103.979156</v>
      </c>
      <c r="H219" s="2">
        <v>0</v>
      </c>
      <c r="I219" s="2">
        <v>15</v>
      </c>
      <c r="J219" s="2">
        <v>-59</v>
      </c>
      <c r="K219" s="4" t="s">
        <v>94</v>
      </c>
    </row>
    <row r="220" spans="1:28" ht="12.5" x14ac:dyDescent="0.25">
      <c r="A220" s="2"/>
      <c r="B220" s="23"/>
      <c r="C220" s="24"/>
      <c r="D220" s="2"/>
      <c r="E220" s="2"/>
      <c r="F220" s="3"/>
      <c r="G220" s="3"/>
      <c r="H220" s="2"/>
      <c r="I220" s="2"/>
      <c r="J220" s="2"/>
      <c r="K220" s="4"/>
      <c r="P220" s="25" t="s">
        <v>271</v>
      </c>
      <c r="Q220" s="25" t="s">
        <v>276</v>
      </c>
      <c r="R220" s="25" t="s">
        <v>272</v>
      </c>
      <c r="S220" s="25" t="s">
        <v>273</v>
      </c>
      <c r="T220" s="25" t="s">
        <v>274</v>
      </c>
      <c r="U220" s="25" t="s">
        <v>275</v>
      </c>
      <c r="W220" s="25" t="s">
        <v>277</v>
      </c>
      <c r="X220" s="25" t="s">
        <v>278</v>
      </c>
      <c r="Y220" s="25" t="s">
        <v>279</v>
      </c>
      <c r="Z220" s="25" t="s">
        <v>280</v>
      </c>
      <c r="AA220" s="31"/>
      <c r="AB220" s="31"/>
    </row>
    <row r="221" spans="1:28" ht="15.5" x14ac:dyDescent="0.25">
      <c r="A221" s="2">
        <v>215</v>
      </c>
      <c r="B221" s="23">
        <v>46271</v>
      </c>
      <c r="C221" s="24">
        <v>0.55356481481481479</v>
      </c>
      <c r="D221" s="2">
        <v>24</v>
      </c>
      <c r="E221" s="2">
        <v>99</v>
      </c>
      <c r="F221" s="3">
        <v>1.037096</v>
      </c>
      <c r="G221" s="3">
        <v>104.05841700000001</v>
      </c>
      <c r="H221" s="2">
        <v>0</v>
      </c>
      <c r="I221" s="2">
        <v>26</v>
      </c>
      <c r="J221" s="2">
        <v>-36</v>
      </c>
      <c r="K221" s="3" t="s">
        <v>151</v>
      </c>
      <c r="M221" s="7">
        <f>U212</f>
        <v>0</v>
      </c>
      <c r="N221" s="7">
        <f>ROUND((C221-$C$221)*1440,2)</f>
        <v>0</v>
      </c>
      <c r="P221" s="1">
        <v>89</v>
      </c>
      <c r="Q221" s="7">
        <v>99</v>
      </c>
      <c r="R221" s="26">
        <f>ABS(D221-P221)</f>
        <v>65</v>
      </c>
      <c r="S221" s="26">
        <f>ABS(E221-Q221)</f>
        <v>0</v>
      </c>
      <c r="T221" s="26">
        <f>ABS(D221-P221)/P221*100</f>
        <v>73.033707865168537</v>
      </c>
      <c r="U221" s="26">
        <f>ABS(E221-Q221)/Q221*100</f>
        <v>0</v>
      </c>
      <c r="W221" s="7">
        <v>1.0371220000000001</v>
      </c>
      <c r="X221" s="7">
        <v>104.058401</v>
      </c>
      <c r="Y221" s="7" t="str">
        <f>TEXT(ABS(F221-W221)/ABS(W221)*100,"0.00000000")&amp;"%"</f>
        <v>0.00250694%</v>
      </c>
      <c r="Z221" s="7" t="str">
        <f>TEXT(ABS(G221-X221)/ABS(X221)*100,"0.00000000")&amp;"%"</f>
        <v>0.00001538%</v>
      </c>
    </row>
    <row r="222" spans="1:28" ht="15.5" x14ac:dyDescent="0.25">
      <c r="A222" s="2">
        <v>216</v>
      </c>
      <c r="B222" s="23">
        <v>46271</v>
      </c>
      <c r="C222" s="24">
        <v>0.55363425925925924</v>
      </c>
      <c r="D222" s="2">
        <v>24</v>
      </c>
      <c r="E222" s="2">
        <v>99</v>
      </c>
      <c r="F222" s="3">
        <v>1.0371330000000001</v>
      </c>
      <c r="G222" s="3">
        <v>104.05859</v>
      </c>
      <c r="H222" s="2" t="s">
        <v>218</v>
      </c>
      <c r="I222" s="2">
        <v>26</v>
      </c>
      <c r="J222" s="2">
        <v>-36</v>
      </c>
      <c r="K222" s="3" t="s">
        <v>151</v>
      </c>
      <c r="M222" s="7">
        <f t="shared" ref="M222:M269" si="6">ROUND(6371000*ACOS(COS(RADIANS(VALUE(F$221)))*COS(RADIANS(VALUE(F222)))*COS(RADIANS(VALUE(G222)-VALUE(G$221)))+SIN(RADIANS(VALUE(F$221)))*SIN(RADIANS(VALUE(F222)))),2)</f>
        <v>19.670000000000002</v>
      </c>
      <c r="N222" s="7">
        <f t="shared" ref="N222:N269" si="7">ROUND((C222-$C$221)*1440,2)</f>
        <v>0.1</v>
      </c>
      <c r="P222" s="1">
        <v>89</v>
      </c>
      <c r="Q222" s="7">
        <v>99</v>
      </c>
      <c r="R222" s="26">
        <f t="shared" ref="R222:R269" si="8">ABS(D222-P222)</f>
        <v>65</v>
      </c>
      <c r="S222" s="26">
        <f t="shared" ref="S222:S269" si="9">ABS(E222-Q222)</f>
        <v>0</v>
      </c>
      <c r="T222" s="26">
        <f t="shared" ref="T222:T269" si="10">ABS(D222-P222)/P222*100</f>
        <v>73.033707865168537</v>
      </c>
      <c r="U222" s="26">
        <f t="shared" ref="U222:U269" si="11">ABS(E222-Q222)/Q222*100</f>
        <v>0</v>
      </c>
      <c r="W222" s="7">
        <v>1.037112</v>
      </c>
      <c r="X222" s="7">
        <v>104.058623</v>
      </c>
      <c r="Y222" s="7" t="str">
        <f t="shared" ref="Y222:Y268" si="12">TEXT(ABS(F222-W222)/ABS(W222)*100,"0.00000000")&amp;"%"</f>
        <v>0.00202485%</v>
      </c>
      <c r="Z222" s="7" t="str">
        <f t="shared" ref="Z222:Z269" si="13">TEXT(ABS(G222-X222)/ABS(X222)*100,"0.00000000")&amp;"%"</f>
        <v>0.00003171%</v>
      </c>
    </row>
    <row r="223" spans="1:28" ht="15.5" x14ac:dyDescent="0.25">
      <c r="A223" s="2">
        <v>217</v>
      </c>
      <c r="B223" s="23">
        <v>46271</v>
      </c>
      <c r="C223" s="24">
        <v>0.5537037037037037</v>
      </c>
      <c r="D223" s="2">
        <v>64</v>
      </c>
      <c r="E223" s="2">
        <v>99</v>
      </c>
      <c r="F223" s="3">
        <v>1.0371699999999999</v>
      </c>
      <c r="G223" s="3">
        <v>104.058764</v>
      </c>
      <c r="H223" s="2" t="s">
        <v>224</v>
      </c>
      <c r="I223" s="2">
        <v>26</v>
      </c>
      <c r="J223" s="2">
        <v>-39</v>
      </c>
      <c r="K223" s="3" t="s">
        <v>13</v>
      </c>
      <c r="M223" s="7">
        <f t="shared" si="6"/>
        <v>39.450000000000003</v>
      </c>
      <c r="N223" s="7">
        <f t="shared" si="7"/>
        <v>0.2</v>
      </c>
      <c r="P223" s="1">
        <v>89</v>
      </c>
      <c r="Q223" s="7">
        <v>99</v>
      </c>
      <c r="R223" s="26">
        <f t="shared" si="8"/>
        <v>25</v>
      </c>
      <c r="S223" s="26">
        <f t="shared" si="9"/>
        <v>0</v>
      </c>
      <c r="T223" s="26">
        <f t="shared" si="10"/>
        <v>28.08988764044944</v>
      </c>
      <c r="U223" s="26">
        <f t="shared" si="11"/>
        <v>0</v>
      </c>
      <c r="W223" s="7">
        <v>1.037193</v>
      </c>
      <c r="X223" s="7">
        <v>104.05874300000001</v>
      </c>
      <c r="Y223" s="7" t="str">
        <f t="shared" si="12"/>
        <v>0.00221752%</v>
      </c>
      <c r="Z223" s="7" t="str">
        <f t="shared" si="13"/>
        <v>0.00002018%</v>
      </c>
    </row>
    <row r="224" spans="1:28" ht="15.5" x14ac:dyDescent="0.25">
      <c r="A224" s="2">
        <v>218</v>
      </c>
      <c r="B224" s="23">
        <v>46271</v>
      </c>
      <c r="C224" s="24">
        <v>0.55377314814814815</v>
      </c>
      <c r="D224" s="2">
        <v>64</v>
      </c>
      <c r="E224" s="2">
        <v>99</v>
      </c>
      <c r="F224" s="3">
        <v>1.0372060000000001</v>
      </c>
      <c r="G224" s="3">
        <v>104.058937</v>
      </c>
      <c r="H224" s="2" t="s">
        <v>225</v>
      </c>
      <c r="I224" s="2">
        <v>26</v>
      </c>
      <c r="J224" s="2">
        <v>-39</v>
      </c>
      <c r="K224" s="3" t="s">
        <v>13</v>
      </c>
      <c r="M224" s="7">
        <f t="shared" si="6"/>
        <v>59.09</v>
      </c>
      <c r="N224" s="7">
        <f t="shared" si="7"/>
        <v>0.3</v>
      </c>
      <c r="P224" s="1">
        <v>89</v>
      </c>
      <c r="Q224" s="7">
        <v>99</v>
      </c>
      <c r="R224" s="26">
        <f t="shared" si="8"/>
        <v>25</v>
      </c>
      <c r="S224" s="26">
        <f t="shared" si="9"/>
        <v>0</v>
      </c>
      <c r="T224" s="26">
        <f t="shared" si="10"/>
        <v>28.08988764044944</v>
      </c>
      <c r="U224" s="26">
        <f t="shared" si="11"/>
        <v>0</v>
      </c>
      <c r="W224" s="7">
        <v>1.037174</v>
      </c>
      <c r="X224" s="7">
        <v>104.05891099999999</v>
      </c>
      <c r="Y224" s="7" t="str">
        <f t="shared" si="12"/>
        <v>0.00308531%</v>
      </c>
      <c r="Z224" s="7" t="str">
        <f t="shared" si="13"/>
        <v>0.00002499%</v>
      </c>
    </row>
    <row r="225" spans="1:26" ht="15.5" x14ac:dyDescent="0.25">
      <c r="A225" s="2">
        <v>219</v>
      </c>
      <c r="B225" s="23">
        <v>46271</v>
      </c>
      <c r="C225" s="24">
        <v>0.55384259259259261</v>
      </c>
      <c r="D225" s="2">
        <v>64</v>
      </c>
      <c r="E225" s="2">
        <v>99</v>
      </c>
      <c r="F225" s="3">
        <v>1.037304</v>
      </c>
      <c r="G225" s="3">
        <v>104.058982</v>
      </c>
      <c r="H225" s="2" t="s">
        <v>226</v>
      </c>
      <c r="I225" s="2">
        <v>26</v>
      </c>
      <c r="J225" s="2">
        <v>-41</v>
      </c>
      <c r="K225" s="3" t="s">
        <v>13</v>
      </c>
      <c r="M225" s="7">
        <f t="shared" si="6"/>
        <v>66.94</v>
      </c>
      <c r="N225" s="7">
        <f t="shared" si="7"/>
        <v>0.4</v>
      </c>
      <c r="P225" s="1">
        <v>89</v>
      </c>
      <c r="Q225" s="7">
        <v>99</v>
      </c>
      <c r="R225" s="26">
        <f t="shared" si="8"/>
        <v>25</v>
      </c>
      <c r="S225" s="26">
        <f t="shared" si="9"/>
        <v>0</v>
      </c>
      <c r="T225" s="26">
        <f t="shared" si="10"/>
        <v>28.08988764044944</v>
      </c>
      <c r="U225" s="26">
        <f t="shared" si="11"/>
        <v>0</v>
      </c>
      <c r="W225" s="7">
        <v>1.0373190000000001</v>
      </c>
      <c r="X225" s="7">
        <v>104.05900200000001</v>
      </c>
      <c r="Y225" s="7" t="str">
        <f t="shared" si="12"/>
        <v>0.00144604%</v>
      </c>
      <c r="Z225" s="7" t="str">
        <f t="shared" si="13"/>
        <v>0.00001922%</v>
      </c>
    </row>
    <row r="226" spans="1:26" ht="15.5" x14ac:dyDescent="0.25">
      <c r="A226" s="2">
        <v>220</v>
      </c>
      <c r="B226" s="23">
        <v>46271</v>
      </c>
      <c r="C226" s="24">
        <v>0.55391203703703706</v>
      </c>
      <c r="D226" s="2">
        <v>71</v>
      </c>
      <c r="E226" s="2">
        <v>99</v>
      </c>
      <c r="F226" s="3">
        <v>1.0374049999999999</v>
      </c>
      <c r="G226" s="3">
        <v>104.05901900000001</v>
      </c>
      <c r="H226" s="2" t="s">
        <v>227</v>
      </c>
      <c r="I226" s="2">
        <v>26</v>
      </c>
      <c r="J226" s="2">
        <v>-46</v>
      </c>
      <c r="K226" s="3" t="s">
        <v>13</v>
      </c>
      <c r="M226" s="7">
        <f t="shared" si="6"/>
        <v>75.23</v>
      </c>
      <c r="N226" s="7">
        <f t="shared" si="7"/>
        <v>0.5</v>
      </c>
      <c r="P226" s="1">
        <v>89</v>
      </c>
      <c r="Q226" s="7">
        <v>99</v>
      </c>
      <c r="R226" s="26">
        <f t="shared" si="8"/>
        <v>18</v>
      </c>
      <c r="S226" s="26">
        <f t="shared" si="9"/>
        <v>0</v>
      </c>
      <c r="T226" s="26">
        <f t="shared" si="10"/>
        <v>20.224719101123593</v>
      </c>
      <c r="U226" s="26">
        <f t="shared" si="11"/>
        <v>0</v>
      </c>
      <c r="W226" s="7">
        <v>1.037388</v>
      </c>
      <c r="X226" s="7">
        <v>104.05898500000001</v>
      </c>
      <c r="Y226" s="7" t="str">
        <f t="shared" si="12"/>
        <v>0.00163873%</v>
      </c>
      <c r="Z226" s="7" t="str">
        <f t="shared" si="13"/>
        <v>0.00003267%</v>
      </c>
    </row>
    <row r="227" spans="1:26" ht="15.5" x14ac:dyDescent="0.25">
      <c r="A227" s="2">
        <v>221</v>
      </c>
      <c r="B227" s="23">
        <v>46271</v>
      </c>
      <c r="C227" s="24">
        <v>0.55398148148148152</v>
      </c>
      <c r="D227" s="2">
        <v>71</v>
      </c>
      <c r="E227" s="2">
        <v>99</v>
      </c>
      <c r="F227" s="3">
        <v>1.037507</v>
      </c>
      <c r="G227" s="3">
        <v>104.059056</v>
      </c>
      <c r="H227" s="2" t="s">
        <v>228</v>
      </c>
      <c r="I227" s="2">
        <v>26</v>
      </c>
      <c r="J227" s="2">
        <v>-46</v>
      </c>
      <c r="K227" s="3" t="s">
        <v>13</v>
      </c>
      <c r="M227" s="7">
        <f t="shared" si="6"/>
        <v>84.47</v>
      </c>
      <c r="N227" s="7">
        <f t="shared" si="7"/>
        <v>0.6</v>
      </c>
      <c r="P227" s="1">
        <v>89</v>
      </c>
      <c r="Q227" s="7">
        <v>99</v>
      </c>
      <c r="R227" s="26">
        <f t="shared" si="8"/>
        <v>18</v>
      </c>
      <c r="S227" s="26">
        <f t="shared" si="9"/>
        <v>0</v>
      </c>
      <c r="T227" s="26">
        <f t="shared" si="10"/>
        <v>20.224719101123593</v>
      </c>
      <c r="U227" s="26">
        <f t="shared" si="11"/>
        <v>0</v>
      </c>
      <c r="W227" s="7">
        <v>1.0375350000000001</v>
      </c>
      <c r="X227" s="7">
        <v>104.059072</v>
      </c>
      <c r="Y227" s="7" t="str">
        <f t="shared" si="12"/>
        <v>0.00269870%</v>
      </c>
      <c r="Z227" s="7" t="str">
        <f t="shared" si="13"/>
        <v>0.00001538%</v>
      </c>
    </row>
    <row r="228" spans="1:26" ht="15.5" x14ac:dyDescent="0.25">
      <c r="A228" s="2">
        <v>222</v>
      </c>
      <c r="B228" s="23">
        <v>46271</v>
      </c>
      <c r="C228" s="24">
        <v>0.55405092592592597</v>
      </c>
      <c r="D228" s="2">
        <v>89</v>
      </c>
      <c r="E228" s="2">
        <v>99</v>
      </c>
      <c r="F228" s="3">
        <v>1.0376160000000001</v>
      </c>
      <c r="G228" s="3">
        <v>104.059059</v>
      </c>
      <c r="H228" s="2" t="s">
        <v>229</v>
      </c>
      <c r="I228" s="2">
        <v>26</v>
      </c>
      <c r="J228" s="2">
        <v>-48</v>
      </c>
      <c r="K228" s="3" t="s">
        <v>13</v>
      </c>
      <c r="M228" s="7">
        <f t="shared" si="6"/>
        <v>91.86</v>
      </c>
      <c r="N228" s="7">
        <f t="shared" si="7"/>
        <v>0.7</v>
      </c>
      <c r="P228" s="1">
        <v>89</v>
      </c>
      <c r="Q228" s="7">
        <v>99</v>
      </c>
      <c r="R228" s="26">
        <f t="shared" si="8"/>
        <v>0</v>
      </c>
      <c r="S228" s="26">
        <f t="shared" si="9"/>
        <v>0</v>
      </c>
      <c r="T228" s="26">
        <f t="shared" si="10"/>
        <v>0</v>
      </c>
      <c r="U228" s="26">
        <f t="shared" si="11"/>
        <v>0</v>
      </c>
      <c r="W228" s="7">
        <v>1.0375840000000001</v>
      </c>
      <c r="X228" s="7">
        <v>104.059088</v>
      </c>
      <c r="Y228" s="7" t="str">
        <f t="shared" si="12"/>
        <v>0.00308409%</v>
      </c>
      <c r="Z228" s="7" t="str">
        <f t="shared" si="13"/>
        <v>0.00002787%</v>
      </c>
    </row>
    <row r="229" spans="1:26" ht="15.5" x14ac:dyDescent="0.25">
      <c r="A229" s="2">
        <v>223</v>
      </c>
      <c r="B229" s="23">
        <v>46271</v>
      </c>
      <c r="C229" s="24">
        <v>0.55412037037037043</v>
      </c>
      <c r="D229" s="2">
        <v>89</v>
      </c>
      <c r="E229" s="2">
        <v>99</v>
      </c>
      <c r="F229" s="3">
        <v>1.0377270000000001</v>
      </c>
      <c r="G229" s="3">
        <v>104.059057</v>
      </c>
      <c r="H229" s="2" t="s">
        <v>230</v>
      </c>
      <c r="I229" s="2">
        <v>26</v>
      </c>
      <c r="J229" s="2">
        <v>-50</v>
      </c>
      <c r="K229" s="3" t="s">
        <v>13</v>
      </c>
      <c r="M229" s="7">
        <f t="shared" si="6"/>
        <v>99.93</v>
      </c>
      <c r="N229" s="7">
        <f t="shared" si="7"/>
        <v>0.8</v>
      </c>
      <c r="P229" s="1">
        <v>89</v>
      </c>
      <c r="Q229" s="7">
        <v>99</v>
      </c>
      <c r="R229" s="26">
        <f t="shared" si="8"/>
        <v>0</v>
      </c>
      <c r="S229" s="26">
        <f t="shared" si="9"/>
        <v>0</v>
      </c>
      <c r="T229" s="26">
        <f t="shared" si="10"/>
        <v>0</v>
      </c>
      <c r="U229" s="26">
        <f t="shared" si="11"/>
        <v>0</v>
      </c>
      <c r="W229" s="7">
        <v>1.0377449999999999</v>
      </c>
      <c r="X229" s="7">
        <v>104.05908100000001</v>
      </c>
      <c r="Y229" s="7" t="str">
        <f t="shared" si="12"/>
        <v>0.00173453%</v>
      </c>
      <c r="Z229" s="7" t="str">
        <f t="shared" si="13"/>
        <v>0.00002306%</v>
      </c>
    </row>
    <row r="230" spans="1:26" ht="15.5" x14ac:dyDescent="0.25">
      <c r="A230" s="2">
        <v>224</v>
      </c>
      <c r="B230" s="23">
        <v>46271</v>
      </c>
      <c r="C230" s="24">
        <v>0.55418981481481489</v>
      </c>
      <c r="D230" s="2">
        <v>89</v>
      </c>
      <c r="E230" s="2">
        <v>99</v>
      </c>
      <c r="F230" s="3">
        <v>1.0378369999999999</v>
      </c>
      <c r="G230" s="3">
        <v>104.059056</v>
      </c>
      <c r="H230" s="2" t="s">
        <v>231</v>
      </c>
      <c r="I230" s="2">
        <v>26</v>
      </c>
      <c r="J230" s="2">
        <v>-49</v>
      </c>
      <c r="K230" s="3" t="s">
        <v>13</v>
      </c>
      <c r="M230" s="7">
        <f t="shared" si="6"/>
        <v>108.79</v>
      </c>
      <c r="N230" s="7">
        <f t="shared" si="7"/>
        <v>0.9</v>
      </c>
      <c r="P230" s="1">
        <v>89</v>
      </c>
      <c r="Q230" s="7">
        <v>99</v>
      </c>
      <c r="R230" s="26">
        <f t="shared" si="8"/>
        <v>0</v>
      </c>
      <c r="S230" s="26">
        <f t="shared" si="9"/>
        <v>0</v>
      </c>
      <c r="T230" s="26">
        <f t="shared" si="10"/>
        <v>0</v>
      </c>
      <c r="U230" s="26">
        <f t="shared" si="11"/>
        <v>0</v>
      </c>
      <c r="W230" s="7">
        <v>1.0378099999999999</v>
      </c>
      <c r="X230" s="7">
        <v>104.059091</v>
      </c>
      <c r="Y230" s="7" t="str">
        <f t="shared" si="12"/>
        <v>0.00260163%</v>
      </c>
      <c r="Z230" s="7" t="str">
        <f t="shared" si="13"/>
        <v>0.00003363%</v>
      </c>
    </row>
    <row r="231" spans="1:26" ht="15.5" x14ac:dyDescent="0.25">
      <c r="A231" s="2">
        <v>225</v>
      </c>
      <c r="B231" s="23">
        <v>46271</v>
      </c>
      <c r="C231" s="24">
        <v>0.55425925925925923</v>
      </c>
      <c r="D231" s="2">
        <v>89</v>
      </c>
      <c r="E231" s="2">
        <v>99</v>
      </c>
      <c r="F231" s="3">
        <v>1.0379959999999999</v>
      </c>
      <c r="G231" s="3">
        <v>104.058999</v>
      </c>
      <c r="H231" s="2" t="s">
        <v>232</v>
      </c>
      <c r="I231" s="2">
        <v>26</v>
      </c>
      <c r="J231" s="2">
        <v>-52</v>
      </c>
      <c r="K231" s="3" t="s">
        <v>13</v>
      </c>
      <c r="M231" s="7">
        <f t="shared" si="6"/>
        <v>119.17</v>
      </c>
      <c r="N231" s="7">
        <f t="shared" si="7"/>
        <v>1</v>
      </c>
      <c r="P231" s="1">
        <v>89</v>
      </c>
      <c r="Q231" s="7">
        <v>99</v>
      </c>
      <c r="R231" s="26">
        <f t="shared" si="8"/>
        <v>0</v>
      </c>
      <c r="S231" s="26">
        <f t="shared" si="9"/>
        <v>0</v>
      </c>
      <c r="T231" s="26">
        <f t="shared" si="10"/>
        <v>0</v>
      </c>
      <c r="U231" s="26">
        <f t="shared" si="11"/>
        <v>0</v>
      </c>
      <c r="W231" s="7">
        <v>1.0380290000000001</v>
      </c>
      <c r="X231" s="7">
        <v>104.05897400000001</v>
      </c>
      <c r="Y231" s="7" t="str">
        <f t="shared" si="12"/>
        <v>0.00317910%</v>
      </c>
      <c r="Z231" s="7" t="str">
        <f t="shared" si="13"/>
        <v>0.00002402%</v>
      </c>
    </row>
    <row r="232" spans="1:26" ht="15.5" x14ac:dyDescent="0.25">
      <c r="A232" s="2">
        <v>226</v>
      </c>
      <c r="B232" s="23">
        <v>46271</v>
      </c>
      <c r="C232" s="24">
        <v>0.55432870370370368</v>
      </c>
      <c r="D232" s="2">
        <v>88</v>
      </c>
      <c r="E232" s="2">
        <v>99</v>
      </c>
      <c r="F232" s="3">
        <v>1.0381549999999999</v>
      </c>
      <c r="G232" s="3">
        <v>104.058939</v>
      </c>
      <c r="H232" s="2" t="s">
        <v>233</v>
      </c>
      <c r="I232" s="2">
        <v>26</v>
      </c>
      <c r="J232" s="2">
        <v>-53</v>
      </c>
      <c r="K232" s="3" t="s">
        <v>13</v>
      </c>
      <c r="M232" s="7">
        <f t="shared" si="6"/>
        <v>131.28</v>
      </c>
      <c r="N232" s="7">
        <f t="shared" si="7"/>
        <v>1.1000000000000001</v>
      </c>
      <c r="P232" s="1">
        <v>89</v>
      </c>
      <c r="Q232" s="7">
        <v>99</v>
      </c>
      <c r="R232" s="26">
        <f t="shared" si="8"/>
        <v>1</v>
      </c>
      <c r="S232" s="26">
        <f t="shared" si="9"/>
        <v>0</v>
      </c>
      <c r="T232" s="26">
        <f t="shared" si="10"/>
        <v>1.1235955056179776</v>
      </c>
      <c r="U232" s="26">
        <f t="shared" si="11"/>
        <v>0</v>
      </c>
      <c r="W232" s="7">
        <v>1.0381739999999999</v>
      </c>
      <c r="X232" s="7">
        <v>104.058959</v>
      </c>
      <c r="Y232" s="7" t="str">
        <f t="shared" si="12"/>
        <v>0.00183014%</v>
      </c>
      <c r="Z232" s="7" t="str">
        <f t="shared" si="13"/>
        <v>0.00001922%</v>
      </c>
    </row>
    <row r="233" spans="1:26" ht="15.5" x14ac:dyDescent="0.25">
      <c r="A233" s="2">
        <v>227</v>
      </c>
      <c r="B233" s="23">
        <v>46271</v>
      </c>
      <c r="C233" s="24">
        <v>0.55439814814814814</v>
      </c>
      <c r="D233" s="2">
        <v>88</v>
      </c>
      <c r="E233" s="2">
        <v>99</v>
      </c>
      <c r="F233" s="3">
        <v>1.038314</v>
      </c>
      <c r="G233" s="3">
        <v>104.05887199999999</v>
      </c>
      <c r="H233" s="2" t="s">
        <v>234</v>
      </c>
      <c r="I233" s="2">
        <v>26</v>
      </c>
      <c r="J233" s="2">
        <v>-57</v>
      </c>
      <c r="K233" s="3" t="s">
        <v>13</v>
      </c>
      <c r="M233" s="7">
        <f t="shared" si="6"/>
        <v>144.57</v>
      </c>
      <c r="N233" s="7">
        <f t="shared" si="7"/>
        <v>1.2</v>
      </c>
      <c r="P233" s="1">
        <v>89</v>
      </c>
      <c r="Q233" s="7">
        <v>99</v>
      </c>
      <c r="R233" s="26">
        <f t="shared" si="8"/>
        <v>1</v>
      </c>
      <c r="S233" s="26">
        <f t="shared" si="9"/>
        <v>0</v>
      </c>
      <c r="T233" s="26">
        <f t="shared" si="10"/>
        <v>1.1235955056179776</v>
      </c>
      <c r="U233" s="26">
        <f t="shared" si="11"/>
        <v>0</v>
      </c>
      <c r="W233" s="7">
        <v>1.038295</v>
      </c>
      <c r="X233" s="7">
        <v>104.05883799999999</v>
      </c>
      <c r="Y233" s="7" t="str">
        <f t="shared" si="12"/>
        <v>0.00182992%</v>
      </c>
      <c r="Z233" s="7" t="str">
        <f t="shared" si="13"/>
        <v>0.00003267%</v>
      </c>
    </row>
    <row r="234" spans="1:26" ht="15.5" x14ac:dyDescent="0.25">
      <c r="A234" s="2">
        <v>228</v>
      </c>
      <c r="B234" s="23">
        <v>46271</v>
      </c>
      <c r="C234" s="24">
        <v>0.5544675925925926</v>
      </c>
      <c r="D234" s="2">
        <v>89</v>
      </c>
      <c r="E234" s="2">
        <v>99</v>
      </c>
      <c r="F234" s="3">
        <v>1.038473</v>
      </c>
      <c r="G234" s="3">
        <v>104.059066</v>
      </c>
      <c r="H234" s="2" t="s">
        <v>235</v>
      </c>
      <c r="I234" s="2">
        <v>26</v>
      </c>
      <c r="J234" s="2">
        <v>-59</v>
      </c>
      <c r="K234" s="3" t="s">
        <v>13</v>
      </c>
      <c r="M234" s="7">
        <f t="shared" si="6"/>
        <v>169.26</v>
      </c>
      <c r="N234" s="7">
        <f t="shared" si="7"/>
        <v>1.3</v>
      </c>
      <c r="P234" s="1">
        <v>89</v>
      </c>
      <c r="Q234" s="7">
        <v>99</v>
      </c>
      <c r="R234" s="26">
        <f t="shared" si="8"/>
        <v>0</v>
      </c>
      <c r="S234" s="26">
        <f t="shared" si="9"/>
        <v>0</v>
      </c>
      <c r="T234" s="26">
        <f t="shared" si="10"/>
        <v>0</v>
      </c>
      <c r="U234" s="26">
        <f t="shared" si="11"/>
        <v>0</v>
      </c>
      <c r="W234" s="7">
        <v>1.038456</v>
      </c>
      <c r="X234" s="7">
        <v>104.059048</v>
      </c>
      <c r="Y234" s="7" t="str">
        <f t="shared" si="12"/>
        <v>0.00163705%</v>
      </c>
      <c r="Z234" s="7" t="str">
        <f t="shared" si="13"/>
        <v>0.00001730%</v>
      </c>
    </row>
    <row r="235" spans="1:26" ht="15.5" x14ac:dyDescent="0.25">
      <c r="A235" s="2">
        <v>229</v>
      </c>
      <c r="B235" s="23">
        <v>46271</v>
      </c>
      <c r="C235" s="24">
        <v>0.55453703703703705</v>
      </c>
      <c r="D235" s="2">
        <v>89</v>
      </c>
      <c r="E235" s="2">
        <v>99</v>
      </c>
      <c r="F235" s="3">
        <v>1.038632</v>
      </c>
      <c r="G235" s="3">
        <v>104.059263</v>
      </c>
      <c r="H235" s="2" t="s">
        <v>236</v>
      </c>
      <c r="I235" s="2">
        <v>26</v>
      </c>
      <c r="J235" s="2">
        <v>-60</v>
      </c>
      <c r="K235" s="3" t="s">
        <v>13</v>
      </c>
      <c r="M235" s="7">
        <f t="shared" si="6"/>
        <v>194.98</v>
      </c>
      <c r="N235" s="7">
        <f t="shared" si="7"/>
        <v>1.4</v>
      </c>
      <c r="P235" s="1">
        <v>89</v>
      </c>
      <c r="Q235" s="7">
        <v>99</v>
      </c>
      <c r="R235" s="26">
        <f t="shared" si="8"/>
        <v>0</v>
      </c>
      <c r="S235" s="26">
        <f t="shared" si="9"/>
        <v>0</v>
      </c>
      <c r="T235" s="26">
        <f t="shared" si="10"/>
        <v>0</v>
      </c>
      <c r="U235" s="26">
        <f t="shared" si="11"/>
        <v>0</v>
      </c>
      <c r="W235" s="7">
        <v>1.038651</v>
      </c>
      <c r="X235" s="7">
        <v>104.059281</v>
      </c>
      <c r="Y235" s="7" t="str">
        <f t="shared" si="12"/>
        <v>0.00182930%</v>
      </c>
      <c r="Z235" s="7" t="str">
        <f t="shared" si="13"/>
        <v>0.00001730%</v>
      </c>
    </row>
    <row r="236" spans="1:26" ht="15.5" x14ac:dyDescent="0.25">
      <c r="A236" s="2">
        <v>230</v>
      </c>
      <c r="B236" s="23">
        <v>46271</v>
      </c>
      <c r="C236" s="24">
        <v>0.55460648148148151</v>
      </c>
      <c r="D236" s="2">
        <v>89</v>
      </c>
      <c r="E236" s="2">
        <v>99</v>
      </c>
      <c r="F236" s="3">
        <v>1.0387919999999999</v>
      </c>
      <c r="G236" s="3">
        <v>104.05946</v>
      </c>
      <c r="H236" s="2" t="s">
        <v>237</v>
      </c>
      <c r="I236" s="2">
        <v>26</v>
      </c>
      <c r="J236" s="2">
        <v>-60</v>
      </c>
      <c r="K236" s="3" t="s">
        <v>13</v>
      </c>
      <c r="M236" s="7">
        <f t="shared" si="6"/>
        <v>221.38</v>
      </c>
      <c r="N236" s="7">
        <f t="shared" si="7"/>
        <v>1.5</v>
      </c>
      <c r="P236" s="1">
        <v>89</v>
      </c>
      <c r="Q236" s="7">
        <v>99</v>
      </c>
      <c r="R236" s="26">
        <f t="shared" si="8"/>
        <v>0</v>
      </c>
      <c r="S236" s="26">
        <f t="shared" si="9"/>
        <v>0</v>
      </c>
      <c r="T236" s="26">
        <f t="shared" si="10"/>
        <v>0</v>
      </c>
      <c r="U236" s="26">
        <f t="shared" si="11"/>
        <v>0</v>
      </c>
      <c r="W236" s="7">
        <v>1.0387569999999999</v>
      </c>
      <c r="X236" s="7">
        <v>104.059485</v>
      </c>
      <c r="Y236" s="7" t="str">
        <f t="shared" si="12"/>
        <v>0.00336941%</v>
      </c>
      <c r="Z236" s="7" t="str">
        <f t="shared" si="13"/>
        <v>0.00002402%</v>
      </c>
    </row>
    <row r="237" spans="1:26" ht="15.5" x14ac:dyDescent="0.25">
      <c r="A237" s="2">
        <v>231</v>
      </c>
      <c r="B237" s="23">
        <v>46271</v>
      </c>
      <c r="C237" s="24">
        <v>0.55467592592592596</v>
      </c>
      <c r="D237" s="2">
        <v>89</v>
      </c>
      <c r="E237" s="2">
        <v>99</v>
      </c>
      <c r="F237" s="3">
        <v>1.0389470000000001</v>
      </c>
      <c r="G237" s="3">
        <v>104.05942400000001</v>
      </c>
      <c r="H237" s="2" t="s">
        <v>238</v>
      </c>
      <c r="I237" s="2">
        <v>26</v>
      </c>
      <c r="J237" s="2">
        <v>-63</v>
      </c>
      <c r="K237" s="3" t="s">
        <v>13</v>
      </c>
      <c r="M237" s="7">
        <f t="shared" si="6"/>
        <v>234.3</v>
      </c>
      <c r="N237" s="7">
        <f t="shared" si="7"/>
        <v>1.6</v>
      </c>
      <c r="P237" s="1">
        <v>89</v>
      </c>
      <c r="Q237" s="7">
        <v>99</v>
      </c>
      <c r="R237" s="26">
        <f t="shared" si="8"/>
        <v>0</v>
      </c>
      <c r="S237" s="26">
        <f t="shared" si="9"/>
        <v>0</v>
      </c>
      <c r="T237" s="26">
        <f t="shared" si="10"/>
        <v>0</v>
      </c>
      <c r="U237" s="26">
        <f t="shared" si="11"/>
        <v>0</v>
      </c>
      <c r="W237" s="7">
        <v>1.038978</v>
      </c>
      <c r="X237" s="7">
        <v>104.059408</v>
      </c>
      <c r="Y237" s="7" t="str">
        <f t="shared" si="12"/>
        <v>0.00298370%</v>
      </c>
      <c r="Z237" s="7" t="str">
        <f t="shared" si="13"/>
        <v>0.00001538%</v>
      </c>
    </row>
    <row r="238" spans="1:26" ht="15.5" x14ac:dyDescent="0.25">
      <c r="A238" s="2">
        <v>232</v>
      </c>
      <c r="B238" s="23">
        <v>46271</v>
      </c>
      <c r="C238" s="24">
        <v>0.55474537037037031</v>
      </c>
      <c r="D238" s="2">
        <v>87</v>
      </c>
      <c r="E238" s="2">
        <v>99</v>
      </c>
      <c r="F238" s="3">
        <v>1.0390969999999999</v>
      </c>
      <c r="G238" s="3">
        <v>104.059378</v>
      </c>
      <c r="H238" s="2" t="s">
        <v>239</v>
      </c>
      <c r="I238" s="2">
        <v>26</v>
      </c>
      <c r="J238" s="2">
        <v>-63</v>
      </c>
      <c r="K238" s="3" t="s">
        <v>13</v>
      </c>
      <c r="M238" s="7">
        <f t="shared" si="6"/>
        <v>246.82</v>
      </c>
      <c r="N238" s="7">
        <f t="shared" si="7"/>
        <v>1.7</v>
      </c>
      <c r="P238" s="1">
        <v>90</v>
      </c>
      <c r="Q238" s="7">
        <v>99</v>
      </c>
      <c r="R238" s="26">
        <f t="shared" si="8"/>
        <v>3</v>
      </c>
      <c r="S238" s="26">
        <f t="shared" si="9"/>
        <v>0</v>
      </c>
      <c r="T238" s="26">
        <f t="shared" si="10"/>
        <v>3.3333333333333335</v>
      </c>
      <c r="U238" s="26">
        <f t="shared" si="11"/>
        <v>0</v>
      </c>
      <c r="W238" s="7">
        <v>1.039115</v>
      </c>
      <c r="X238" s="7">
        <v>104.05935700000001</v>
      </c>
      <c r="Y238" s="7" t="str">
        <f t="shared" si="12"/>
        <v>0.00173224%</v>
      </c>
      <c r="Z238" s="7" t="str">
        <f t="shared" si="13"/>
        <v>0.00002018%</v>
      </c>
    </row>
    <row r="239" spans="1:26" ht="15.5" x14ac:dyDescent="0.25">
      <c r="A239" s="2">
        <v>233</v>
      </c>
      <c r="B239" s="23">
        <v>46271</v>
      </c>
      <c r="C239" s="24">
        <v>0.55481481481481476</v>
      </c>
      <c r="D239" s="2">
        <v>90</v>
      </c>
      <c r="E239" s="2">
        <v>99</v>
      </c>
      <c r="F239" s="3">
        <v>1.039247</v>
      </c>
      <c r="G239" s="3">
        <v>104.059336</v>
      </c>
      <c r="H239" s="2" t="s">
        <v>240</v>
      </c>
      <c r="I239" s="2">
        <v>26</v>
      </c>
      <c r="J239" s="2">
        <v>-65</v>
      </c>
      <c r="K239" s="3" t="s">
        <v>13</v>
      </c>
      <c r="M239" s="7">
        <f t="shared" si="6"/>
        <v>260.08999999999997</v>
      </c>
      <c r="N239" s="7">
        <f t="shared" si="7"/>
        <v>1.8</v>
      </c>
      <c r="P239" s="1">
        <v>90</v>
      </c>
      <c r="Q239" s="7">
        <v>99</v>
      </c>
      <c r="R239" s="26">
        <f t="shared" si="8"/>
        <v>0</v>
      </c>
      <c r="S239" s="26">
        <f t="shared" si="9"/>
        <v>0</v>
      </c>
      <c r="T239" s="26">
        <f t="shared" si="10"/>
        <v>0</v>
      </c>
      <c r="U239" s="26">
        <f>ABS(E239-Q239)/Q239*100</f>
        <v>0</v>
      </c>
      <c r="W239" s="7">
        <v>1.0392159999999999</v>
      </c>
      <c r="X239" s="7">
        <v>104.059302</v>
      </c>
      <c r="Y239" s="7" t="str">
        <f t="shared" si="12"/>
        <v>0.00298302%</v>
      </c>
      <c r="Z239" s="7" t="str">
        <f t="shared" si="13"/>
        <v>0.00003267%</v>
      </c>
    </row>
    <row r="240" spans="1:26" ht="15.5" x14ac:dyDescent="0.25">
      <c r="A240" s="2">
        <v>234</v>
      </c>
      <c r="B240" s="23">
        <v>46271</v>
      </c>
      <c r="C240" s="24">
        <v>0.55488425925925922</v>
      </c>
      <c r="D240" s="2">
        <v>91</v>
      </c>
      <c r="E240" s="2">
        <v>99</v>
      </c>
      <c r="F240" s="3">
        <v>1.0393619999999999</v>
      </c>
      <c r="G240" s="3">
        <v>104.059208</v>
      </c>
      <c r="H240" s="2" t="s">
        <v>241</v>
      </c>
      <c r="I240" s="2">
        <v>26</v>
      </c>
      <c r="J240" s="2">
        <v>-69</v>
      </c>
      <c r="K240" s="3" t="s">
        <v>13</v>
      </c>
      <c r="M240" s="7">
        <f t="shared" si="6"/>
        <v>266.87</v>
      </c>
      <c r="N240" s="7">
        <f t="shared" si="7"/>
        <v>1.9</v>
      </c>
      <c r="P240" s="1">
        <v>90</v>
      </c>
      <c r="Q240" s="7">
        <v>99</v>
      </c>
      <c r="R240" s="26">
        <f t="shared" si="8"/>
        <v>1</v>
      </c>
      <c r="S240" s="26">
        <f t="shared" si="9"/>
        <v>0</v>
      </c>
      <c r="T240" s="26">
        <f t="shared" si="10"/>
        <v>1.1111111111111112</v>
      </c>
      <c r="U240" s="26">
        <f t="shared" si="11"/>
        <v>0</v>
      </c>
      <c r="W240" s="7">
        <v>1.039342</v>
      </c>
      <c r="X240" s="7">
        <v>104.059185</v>
      </c>
      <c r="Y240" s="7" t="str">
        <f t="shared" si="12"/>
        <v>0.00192429%</v>
      </c>
      <c r="Z240" s="7" t="str">
        <f t="shared" si="13"/>
        <v>0.00002210%</v>
      </c>
    </row>
    <row r="241" spans="1:26" ht="15.5" x14ac:dyDescent="0.25">
      <c r="A241" s="2">
        <v>235</v>
      </c>
      <c r="B241" s="23">
        <v>46271</v>
      </c>
      <c r="C241" s="24">
        <v>0.55495370370370367</v>
      </c>
      <c r="D241" s="2">
        <v>91</v>
      </c>
      <c r="E241" s="2">
        <v>99</v>
      </c>
      <c r="F241" s="3">
        <v>1.039477</v>
      </c>
      <c r="G241" s="3">
        <v>104.05908100000001</v>
      </c>
      <c r="H241" s="2" t="s">
        <v>242</v>
      </c>
      <c r="I241" s="2">
        <v>26</v>
      </c>
      <c r="J241" s="2">
        <v>-71</v>
      </c>
      <c r="K241" s="3" t="s">
        <v>13</v>
      </c>
      <c r="M241" s="7">
        <f t="shared" si="6"/>
        <v>274.85000000000002</v>
      </c>
      <c r="N241" s="7">
        <f t="shared" si="7"/>
        <v>2</v>
      </c>
      <c r="P241" s="1">
        <v>90</v>
      </c>
      <c r="Q241" s="7">
        <v>99</v>
      </c>
      <c r="R241" s="26">
        <f t="shared" si="8"/>
        <v>1</v>
      </c>
      <c r="S241" s="26">
        <f t="shared" si="9"/>
        <v>0</v>
      </c>
      <c r="T241" s="26">
        <f t="shared" si="10"/>
        <v>1.1111111111111112</v>
      </c>
      <c r="U241" s="26">
        <f t="shared" si="11"/>
        <v>0</v>
      </c>
      <c r="W241" s="7">
        <v>1.039453</v>
      </c>
      <c r="X241" s="7">
        <v>104.059105</v>
      </c>
      <c r="Y241" s="7" t="str">
        <f t="shared" si="12"/>
        <v>0.00230891%</v>
      </c>
      <c r="Z241" s="7" t="str">
        <f t="shared" si="13"/>
        <v>0.00002306%</v>
      </c>
    </row>
    <row r="242" spans="1:26" ht="15.5" x14ac:dyDescent="0.25">
      <c r="A242" s="2">
        <v>236</v>
      </c>
      <c r="B242" s="23">
        <v>46271</v>
      </c>
      <c r="C242" s="24">
        <v>0.55502314814814813</v>
      </c>
      <c r="D242" s="2">
        <v>90</v>
      </c>
      <c r="E242" s="2">
        <v>99</v>
      </c>
      <c r="F242" s="3">
        <v>1.0395920000000001</v>
      </c>
      <c r="G242" s="3">
        <v>104.05895700000001</v>
      </c>
      <c r="H242" s="2" t="s">
        <v>243</v>
      </c>
      <c r="I242" s="2">
        <v>26</v>
      </c>
      <c r="J242" s="2">
        <v>-73</v>
      </c>
      <c r="K242" s="3" t="s">
        <v>13</v>
      </c>
      <c r="M242" s="7">
        <f t="shared" si="6"/>
        <v>283.95999999999998</v>
      </c>
      <c r="N242" s="7">
        <f t="shared" si="7"/>
        <v>2.1</v>
      </c>
      <c r="P242" s="1">
        <v>90</v>
      </c>
      <c r="Q242" s="7">
        <v>99</v>
      </c>
      <c r="R242" s="26">
        <f t="shared" si="8"/>
        <v>0</v>
      </c>
      <c r="S242" s="26">
        <f t="shared" si="9"/>
        <v>0</v>
      </c>
      <c r="T242" s="26">
        <f t="shared" si="10"/>
        <v>0</v>
      </c>
      <c r="U242" s="26">
        <f t="shared" si="11"/>
        <v>0</v>
      </c>
      <c r="W242" s="7">
        <v>1.039558</v>
      </c>
      <c r="X242" s="7">
        <v>104.058984</v>
      </c>
      <c r="Y242" s="7" t="str">
        <f t="shared" si="12"/>
        <v>0.00327062%</v>
      </c>
      <c r="Z242" s="7" t="str">
        <f t="shared" si="13"/>
        <v>0.00002595%</v>
      </c>
    </row>
    <row r="243" spans="1:26" ht="15.5" x14ac:dyDescent="0.25">
      <c r="A243" s="2">
        <v>237</v>
      </c>
      <c r="B243" s="23">
        <v>46271</v>
      </c>
      <c r="C243" s="24">
        <v>0.55509259259259258</v>
      </c>
      <c r="D243" s="2">
        <v>90</v>
      </c>
      <c r="E243" s="2">
        <v>99</v>
      </c>
      <c r="F243" s="3">
        <v>1.039828</v>
      </c>
      <c r="G243" s="3">
        <v>104.058781</v>
      </c>
      <c r="H243" s="2" t="s">
        <v>244</v>
      </c>
      <c r="I243" s="2">
        <v>26</v>
      </c>
      <c r="J243" s="2">
        <v>-76</v>
      </c>
      <c r="K243" s="3" t="s">
        <v>13</v>
      </c>
      <c r="M243" s="7">
        <f t="shared" si="6"/>
        <v>306.47000000000003</v>
      </c>
      <c r="N243" s="7">
        <f t="shared" si="7"/>
        <v>2.2000000000000002</v>
      </c>
      <c r="P243" s="1">
        <v>90</v>
      </c>
      <c r="Q243" s="7">
        <v>99</v>
      </c>
      <c r="R243" s="26">
        <f t="shared" si="8"/>
        <v>0</v>
      </c>
      <c r="S243" s="26">
        <f t="shared" si="9"/>
        <v>0</v>
      </c>
      <c r="T243" s="26">
        <f t="shared" si="10"/>
        <v>0</v>
      </c>
      <c r="U243" s="26">
        <f t="shared" si="11"/>
        <v>0</v>
      </c>
      <c r="W243" s="7">
        <v>1.0397970000000001</v>
      </c>
      <c r="X243" s="7">
        <v>104.058798</v>
      </c>
      <c r="Y243" s="7" t="str">
        <f t="shared" si="12"/>
        <v>0.00298135%</v>
      </c>
      <c r="Z243" s="7" t="str">
        <f t="shared" si="13"/>
        <v>0.00001634%</v>
      </c>
    </row>
    <row r="244" spans="1:26" ht="15.5" x14ac:dyDescent="0.25">
      <c r="A244" s="2">
        <v>238</v>
      </c>
      <c r="B244" s="23">
        <v>46271</v>
      </c>
      <c r="C244" s="24">
        <v>0.55516203703703704</v>
      </c>
      <c r="D244" s="2">
        <v>90</v>
      </c>
      <c r="E244" s="2">
        <v>99</v>
      </c>
      <c r="F244" s="3">
        <v>1.040063</v>
      </c>
      <c r="G244" s="3">
        <v>104.058606</v>
      </c>
      <c r="H244" s="2" t="s">
        <v>245</v>
      </c>
      <c r="I244" s="2">
        <v>26</v>
      </c>
      <c r="J244" s="2">
        <v>-78</v>
      </c>
      <c r="K244" s="3" t="s">
        <v>13</v>
      </c>
      <c r="M244" s="7">
        <f t="shared" si="6"/>
        <v>330.58</v>
      </c>
      <c r="N244" s="7">
        <f t="shared" si="7"/>
        <v>2.2999999999999998</v>
      </c>
      <c r="P244" s="1">
        <v>90</v>
      </c>
      <c r="Q244" s="7">
        <v>99</v>
      </c>
      <c r="R244" s="26">
        <f t="shared" si="8"/>
        <v>0</v>
      </c>
      <c r="S244" s="26">
        <f t="shared" si="9"/>
        <v>0</v>
      </c>
      <c r="T244" s="26">
        <f t="shared" si="10"/>
        <v>0</v>
      </c>
      <c r="U244" s="26">
        <f t="shared" si="11"/>
        <v>0</v>
      </c>
      <c r="W244" s="7">
        <v>1.040041</v>
      </c>
      <c r="X244" s="7">
        <v>104.058628</v>
      </c>
      <c r="Y244" s="7" t="str">
        <f t="shared" si="12"/>
        <v>0.00211530%</v>
      </c>
      <c r="Z244" s="7" t="str">
        <f t="shared" si="13"/>
        <v>0.00002114%</v>
      </c>
    </row>
    <row r="245" spans="1:26" ht="15.5" x14ac:dyDescent="0.25">
      <c r="A245" s="2">
        <v>239</v>
      </c>
      <c r="B245" s="23">
        <v>46271</v>
      </c>
      <c r="C245" s="24">
        <v>0.55523148148148149</v>
      </c>
      <c r="D245" s="2">
        <v>84</v>
      </c>
      <c r="E245" s="2">
        <v>99</v>
      </c>
      <c r="F245" s="3">
        <v>1.0402990000000001</v>
      </c>
      <c r="G245" s="3">
        <v>104.05844399999999</v>
      </c>
      <c r="H245" s="2" t="s">
        <v>246</v>
      </c>
      <c r="I245" s="2">
        <v>26</v>
      </c>
      <c r="J245" s="2">
        <v>-79</v>
      </c>
      <c r="K245" s="3" t="s">
        <v>13</v>
      </c>
      <c r="M245" s="7">
        <f t="shared" si="6"/>
        <v>356.17</v>
      </c>
      <c r="N245" s="7">
        <f t="shared" si="7"/>
        <v>2.4</v>
      </c>
      <c r="P245" s="1">
        <v>90</v>
      </c>
      <c r="Q245" s="7">
        <v>99</v>
      </c>
      <c r="R245" s="26">
        <f t="shared" si="8"/>
        <v>6</v>
      </c>
      <c r="S245" s="26">
        <f t="shared" si="9"/>
        <v>0</v>
      </c>
      <c r="T245" s="26">
        <f t="shared" si="10"/>
        <v>6.666666666666667</v>
      </c>
      <c r="U245" s="26">
        <f t="shared" si="11"/>
        <v>0</v>
      </c>
      <c r="W245" s="7">
        <v>1.0403180000000001</v>
      </c>
      <c r="X245" s="7">
        <v>104.05842199999999</v>
      </c>
      <c r="Y245" s="7" t="str">
        <f t="shared" si="12"/>
        <v>0.00182636%</v>
      </c>
      <c r="Z245" s="7" t="str">
        <f t="shared" si="13"/>
        <v>0.00002114%</v>
      </c>
    </row>
    <row r="246" spans="1:26" ht="15.5" x14ac:dyDescent="0.25">
      <c r="A246" s="2">
        <v>240</v>
      </c>
      <c r="B246" s="23">
        <v>46271</v>
      </c>
      <c r="C246" s="24">
        <v>0.55530092592592595</v>
      </c>
      <c r="D246" s="2">
        <v>88</v>
      </c>
      <c r="E246" s="2">
        <v>99</v>
      </c>
      <c r="F246" s="3">
        <v>1.0406230000000001</v>
      </c>
      <c r="G246" s="3">
        <v>104.058471</v>
      </c>
      <c r="H246" s="2" t="s">
        <v>247</v>
      </c>
      <c r="I246" s="2">
        <v>26</v>
      </c>
      <c r="J246" s="2">
        <v>-82</v>
      </c>
      <c r="K246" s="3" t="s">
        <v>13</v>
      </c>
      <c r="M246" s="7">
        <f t="shared" si="6"/>
        <v>392.23</v>
      </c>
      <c r="N246" s="7">
        <f t="shared" si="7"/>
        <v>2.5</v>
      </c>
      <c r="P246" s="1">
        <v>90</v>
      </c>
      <c r="Q246" s="7">
        <v>99</v>
      </c>
      <c r="R246" s="26">
        <f t="shared" si="8"/>
        <v>2</v>
      </c>
      <c r="S246" s="26">
        <f t="shared" si="9"/>
        <v>0</v>
      </c>
      <c r="T246" s="26">
        <f t="shared" si="10"/>
        <v>2.2222222222222223</v>
      </c>
      <c r="U246" s="26">
        <f t="shared" si="11"/>
        <v>0</v>
      </c>
      <c r="W246" s="7">
        <v>1.0406010000000001</v>
      </c>
      <c r="X246" s="7">
        <v>104.058438</v>
      </c>
      <c r="Y246" s="7" t="str">
        <f t="shared" si="12"/>
        <v>0.00211416%</v>
      </c>
      <c r="Z246" s="7" t="str">
        <f t="shared" si="13"/>
        <v>0.00003171%</v>
      </c>
    </row>
    <row r="247" spans="1:26" ht="15.5" x14ac:dyDescent="0.25">
      <c r="A247" s="2">
        <v>241</v>
      </c>
      <c r="B247" s="23">
        <v>46271</v>
      </c>
      <c r="C247" s="24">
        <v>0.5553703703703704</v>
      </c>
      <c r="D247" s="2">
        <v>88</v>
      </c>
      <c r="E247" s="2">
        <v>99</v>
      </c>
      <c r="F247" s="3">
        <v>1.0409470000000001</v>
      </c>
      <c r="G247" s="3">
        <v>104.058498</v>
      </c>
      <c r="H247" s="2" t="s">
        <v>248</v>
      </c>
      <c r="I247" s="2">
        <v>26</v>
      </c>
      <c r="J247" s="2">
        <v>-82</v>
      </c>
      <c r="K247" s="3" t="s">
        <v>13</v>
      </c>
      <c r="M247" s="7">
        <f t="shared" si="6"/>
        <v>428.31</v>
      </c>
      <c r="N247" s="7">
        <f t="shared" si="7"/>
        <v>2.6</v>
      </c>
      <c r="P247" s="1">
        <v>90</v>
      </c>
      <c r="Q247" s="7">
        <v>99</v>
      </c>
      <c r="R247" s="26">
        <f t="shared" si="8"/>
        <v>2</v>
      </c>
      <c r="S247" s="26">
        <f t="shared" si="9"/>
        <v>0</v>
      </c>
      <c r="T247" s="26">
        <f t="shared" si="10"/>
        <v>2.2222222222222223</v>
      </c>
      <c r="U247" s="26">
        <f t="shared" si="11"/>
        <v>0</v>
      </c>
      <c r="W247" s="7">
        <v>1.0409619999999999</v>
      </c>
      <c r="X247" s="7">
        <v>104.05851800000001</v>
      </c>
      <c r="Y247" s="7" t="str">
        <f t="shared" si="12"/>
        <v>0.00144097%</v>
      </c>
      <c r="Z247" s="7" t="str">
        <f t="shared" si="13"/>
        <v>0.00001922%</v>
      </c>
    </row>
    <row r="248" spans="1:26" ht="15.5" x14ac:dyDescent="0.25">
      <c r="A248" s="2">
        <v>242</v>
      </c>
      <c r="B248" s="23">
        <v>46271</v>
      </c>
      <c r="C248" s="24">
        <v>0.55543981481481486</v>
      </c>
      <c r="D248" s="2">
        <v>87</v>
      </c>
      <c r="E248" s="2">
        <v>99</v>
      </c>
      <c r="F248" s="3">
        <v>1.0412710000000001</v>
      </c>
      <c r="G248" s="3">
        <v>104.058532</v>
      </c>
      <c r="H248" s="2" t="s">
        <v>249</v>
      </c>
      <c r="I248" s="2">
        <v>26</v>
      </c>
      <c r="J248" s="2">
        <v>-85</v>
      </c>
      <c r="K248" s="3" t="s">
        <v>13</v>
      </c>
      <c r="M248" s="7">
        <f t="shared" si="6"/>
        <v>464.41</v>
      </c>
      <c r="N248" s="7">
        <f t="shared" si="7"/>
        <v>2.7</v>
      </c>
      <c r="P248" s="1">
        <v>90</v>
      </c>
      <c r="Q248" s="7">
        <v>99</v>
      </c>
      <c r="R248" s="26">
        <f t="shared" si="8"/>
        <v>3</v>
      </c>
      <c r="S248" s="26">
        <f t="shared" si="9"/>
        <v>0</v>
      </c>
      <c r="T248" s="26">
        <f t="shared" si="10"/>
        <v>3.3333333333333335</v>
      </c>
      <c r="U248" s="26">
        <f>ABS(E248-Q248)/Q248*100</f>
        <v>0</v>
      </c>
      <c r="W248" s="7">
        <v>1.041291</v>
      </c>
      <c r="X248" s="7">
        <v>104.058513</v>
      </c>
      <c r="Y248" s="7" t="str">
        <f t="shared" si="12"/>
        <v>0.00192069%</v>
      </c>
      <c r="Z248" s="7" t="str">
        <f t="shared" si="13"/>
        <v>0.00001826%</v>
      </c>
    </row>
    <row r="249" spans="1:26" ht="15.5" x14ac:dyDescent="0.25">
      <c r="A249" s="2">
        <v>243</v>
      </c>
      <c r="B249" s="23">
        <v>46271</v>
      </c>
      <c r="C249" s="24">
        <v>0.55550925925925931</v>
      </c>
      <c r="D249" s="2">
        <v>91</v>
      </c>
      <c r="E249" s="2">
        <v>99</v>
      </c>
      <c r="F249" s="3">
        <v>1.041534</v>
      </c>
      <c r="G249" s="3">
        <v>104.058656</v>
      </c>
      <c r="H249" s="2" t="s">
        <v>250</v>
      </c>
      <c r="I249" s="2">
        <v>26</v>
      </c>
      <c r="J249" s="2">
        <v>-88</v>
      </c>
      <c r="K249" s="3" t="s">
        <v>13</v>
      </c>
      <c r="M249" s="7">
        <f t="shared" si="6"/>
        <v>494.2</v>
      </c>
      <c r="N249" s="7">
        <f t="shared" si="7"/>
        <v>2.8</v>
      </c>
      <c r="P249" s="1">
        <v>90</v>
      </c>
      <c r="Q249" s="7">
        <v>99</v>
      </c>
      <c r="R249" s="26">
        <f t="shared" si="8"/>
        <v>1</v>
      </c>
      <c r="S249" s="26">
        <f t="shared" si="9"/>
        <v>0</v>
      </c>
      <c r="T249" s="26">
        <f t="shared" si="10"/>
        <v>1.1111111111111112</v>
      </c>
      <c r="U249" s="26">
        <f t="shared" si="11"/>
        <v>0</v>
      </c>
      <c r="W249" s="7">
        <v>1.0415030000000001</v>
      </c>
      <c r="X249" s="7">
        <v>104.05868700000001</v>
      </c>
      <c r="Y249" s="7" t="str">
        <f t="shared" si="12"/>
        <v>0.00297647%</v>
      </c>
      <c r="Z249" s="7" t="str">
        <f t="shared" si="13"/>
        <v>0.00002979%</v>
      </c>
    </row>
    <row r="250" spans="1:26" ht="15.5" x14ac:dyDescent="0.25">
      <c r="A250" s="2">
        <v>244</v>
      </c>
      <c r="B250" s="23">
        <v>46271</v>
      </c>
      <c r="C250" s="24">
        <v>0.55557870370370377</v>
      </c>
      <c r="D250" s="2">
        <v>88</v>
      </c>
      <c r="E250" s="2">
        <v>99</v>
      </c>
      <c r="F250" s="3">
        <v>1.0417970000000001</v>
      </c>
      <c r="G250" s="3">
        <v>104.058779</v>
      </c>
      <c r="H250" s="2" t="s">
        <v>251</v>
      </c>
      <c r="I250" s="2">
        <v>26</v>
      </c>
      <c r="J250" s="2">
        <v>-88</v>
      </c>
      <c r="K250" s="3" t="s">
        <v>13</v>
      </c>
      <c r="M250" s="7">
        <f t="shared" si="6"/>
        <v>524.27</v>
      </c>
      <c r="N250" s="7">
        <f t="shared" si="7"/>
        <v>2.9</v>
      </c>
      <c r="P250" s="1">
        <v>91</v>
      </c>
      <c r="Q250" s="7">
        <v>99</v>
      </c>
      <c r="R250" s="26">
        <f t="shared" si="8"/>
        <v>3</v>
      </c>
      <c r="S250" s="26">
        <f t="shared" si="9"/>
        <v>0</v>
      </c>
      <c r="T250" s="26">
        <f t="shared" si="10"/>
        <v>3.296703296703297</v>
      </c>
      <c r="U250" s="26">
        <f t="shared" si="11"/>
        <v>0</v>
      </c>
      <c r="W250" s="7">
        <v>1.041812</v>
      </c>
      <c r="X250" s="7">
        <v>104.058795</v>
      </c>
      <c r="Y250" s="7" t="str">
        <f t="shared" si="12"/>
        <v>0.00143980%</v>
      </c>
      <c r="Z250" s="7" t="str">
        <f t="shared" si="13"/>
        <v>0.00001538%</v>
      </c>
    </row>
    <row r="251" spans="1:26" ht="15.5" x14ac:dyDescent="0.25">
      <c r="A251" s="2">
        <v>245</v>
      </c>
      <c r="B251" s="23">
        <v>46271</v>
      </c>
      <c r="C251" s="24">
        <v>0.55564814814814811</v>
      </c>
      <c r="D251" s="2">
        <v>88</v>
      </c>
      <c r="E251" s="2">
        <v>99</v>
      </c>
      <c r="F251" s="3">
        <v>1.04206</v>
      </c>
      <c r="G251" s="3">
        <v>104.05889999999999</v>
      </c>
      <c r="H251" s="2" t="s">
        <v>252</v>
      </c>
      <c r="I251" s="2">
        <v>26</v>
      </c>
      <c r="J251" s="2">
        <v>-91</v>
      </c>
      <c r="K251" s="3" t="s">
        <v>13</v>
      </c>
      <c r="M251" s="7">
        <f t="shared" si="6"/>
        <v>554.58000000000004</v>
      </c>
      <c r="N251" s="7">
        <f t="shared" si="7"/>
        <v>3</v>
      </c>
      <c r="P251" s="1">
        <v>91</v>
      </c>
      <c r="Q251" s="7">
        <v>99</v>
      </c>
      <c r="R251" s="26">
        <f t="shared" si="8"/>
        <v>3</v>
      </c>
      <c r="S251" s="26">
        <f t="shared" si="9"/>
        <v>0</v>
      </c>
      <c r="T251" s="26">
        <f t="shared" si="10"/>
        <v>3.296703296703297</v>
      </c>
      <c r="U251" s="26">
        <f t="shared" si="11"/>
        <v>0</v>
      </c>
      <c r="W251" s="7">
        <v>1.042033</v>
      </c>
      <c r="X251" s="7">
        <v>104.05893</v>
      </c>
      <c r="Y251" s="7" t="str">
        <f t="shared" si="12"/>
        <v>0.00259109%</v>
      </c>
      <c r="Z251" s="7" t="str">
        <f t="shared" si="13"/>
        <v>0.00002883%</v>
      </c>
    </row>
    <row r="252" spans="1:26" ht="15.5" x14ac:dyDescent="0.25">
      <c r="A252" s="2">
        <v>246</v>
      </c>
      <c r="B252" s="23">
        <v>46271</v>
      </c>
      <c r="C252" s="24">
        <v>0.55571759259259257</v>
      </c>
      <c r="D252" s="2">
        <v>91</v>
      </c>
      <c r="E252" s="2">
        <v>99</v>
      </c>
      <c r="F252" s="3">
        <v>1.0425</v>
      </c>
      <c r="G252" s="3">
        <v>104.058814</v>
      </c>
      <c r="H252" s="2" t="s">
        <v>253</v>
      </c>
      <c r="I252" s="2">
        <v>26</v>
      </c>
      <c r="J252" s="2">
        <v>-93</v>
      </c>
      <c r="K252" s="3" t="s">
        <v>13</v>
      </c>
      <c r="M252" s="7">
        <f t="shared" si="6"/>
        <v>602.52</v>
      </c>
      <c r="N252" s="7">
        <f t="shared" si="7"/>
        <v>3.1</v>
      </c>
      <c r="P252" s="1">
        <v>91</v>
      </c>
      <c r="Q252" s="7">
        <v>99</v>
      </c>
      <c r="R252" s="26">
        <f t="shared" si="8"/>
        <v>0</v>
      </c>
      <c r="S252" s="26">
        <f t="shared" si="9"/>
        <v>0</v>
      </c>
      <c r="T252" s="26">
        <f t="shared" si="10"/>
        <v>0</v>
      </c>
      <c r="U252" s="26">
        <f t="shared" si="11"/>
        <v>0</v>
      </c>
      <c r="W252" s="7">
        <v>1.042473</v>
      </c>
      <c r="X252" s="7">
        <v>104.058798</v>
      </c>
      <c r="Y252" s="7" t="str">
        <f t="shared" si="12"/>
        <v>0.00259000%</v>
      </c>
      <c r="Z252" s="7" t="str">
        <f t="shared" si="13"/>
        <v>0.00001538%</v>
      </c>
    </row>
    <row r="253" spans="1:26" ht="15.5" x14ac:dyDescent="0.25">
      <c r="A253" s="2">
        <v>247</v>
      </c>
      <c r="B253" s="23">
        <v>46271</v>
      </c>
      <c r="C253" s="24">
        <v>0.55578703703703702</v>
      </c>
      <c r="D253" s="2">
        <v>91</v>
      </c>
      <c r="E253" s="2">
        <v>99</v>
      </c>
      <c r="F253" s="3">
        <v>1.04294</v>
      </c>
      <c r="G253" s="3">
        <v>104.058728</v>
      </c>
      <c r="H253" s="2" t="s">
        <v>254</v>
      </c>
      <c r="I253" s="2">
        <v>26</v>
      </c>
      <c r="J253" s="2">
        <v>-93</v>
      </c>
      <c r="K253" s="3" t="s">
        <v>13</v>
      </c>
      <c r="M253" s="7">
        <f t="shared" si="6"/>
        <v>650.74</v>
      </c>
      <c r="N253" s="7">
        <f t="shared" si="7"/>
        <v>3.2</v>
      </c>
      <c r="P253" s="1">
        <v>91</v>
      </c>
      <c r="Q253" s="7">
        <v>99</v>
      </c>
      <c r="R253" s="26">
        <f t="shared" si="8"/>
        <v>0</v>
      </c>
      <c r="S253" s="26">
        <f t="shared" si="9"/>
        <v>0</v>
      </c>
      <c r="T253" s="26">
        <f t="shared" si="10"/>
        <v>0</v>
      </c>
      <c r="U253" s="26">
        <f t="shared" si="11"/>
        <v>0</v>
      </c>
      <c r="W253" s="7">
        <v>1.042923</v>
      </c>
      <c r="X253" s="7">
        <v>104.058755</v>
      </c>
      <c r="Y253" s="7" t="str">
        <f t="shared" si="12"/>
        <v>0.00163003%</v>
      </c>
      <c r="Z253" s="7" t="str">
        <f t="shared" si="13"/>
        <v>0.00002595%</v>
      </c>
    </row>
    <row r="254" spans="1:26" ht="15.5" x14ac:dyDescent="0.25">
      <c r="A254" s="2">
        <v>248</v>
      </c>
      <c r="B254" s="23">
        <v>46271</v>
      </c>
      <c r="C254" s="24">
        <v>0.55585648148148148</v>
      </c>
      <c r="D254" s="2">
        <v>91</v>
      </c>
      <c r="E254" s="2">
        <v>99</v>
      </c>
      <c r="F254" s="3">
        <v>1.04338</v>
      </c>
      <c r="G254" s="3">
        <v>104.058633</v>
      </c>
      <c r="H254" s="2" t="s">
        <v>255</v>
      </c>
      <c r="I254" s="2">
        <v>26</v>
      </c>
      <c r="J254" s="2">
        <v>-95</v>
      </c>
      <c r="K254" s="3" t="s">
        <v>13</v>
      </c>
      <c r="M254" s="7">
        <f t="shared" si="6"/>
        <v>699.16</v>
      </c>
      <c r="N254" s="7">
        <f t="shared" si="7"/>
        <v>3.3</v>
      </c>
      <c r="P254" s="1">
        <v>91</v>
      </c>
      <c r="Q254" s="7">
        <v>99</v>
      </c>
      <c r="R254" s="26">
        <f t="shared" si="8"/>
        <v>0</v>
      </c>
      <c r="S254" s="26">
        <f t="shared" si="9"/>
        <v>0</v>
      </c>
      <c r="T254" s="26">
        <f t="shared" si="10"/>
        <v>0</v>
      </c>
      <c r="U254" s="26">
        <f t="shared" si="11"/>
        <v>0</v>
      </c>
      <c r="W254" s="7">
        <v>1.0433570000000001</v>
      </c>
      <c r="X254" s="7">
        <v>104.058617</v>
      </c>
      <c r="Y254" s="7" t="str">
        <f t="shared" si="12"/>
        <v>0.00220442%</v>
      </c>
      <c r="Z254" s="7" t="str">
        <f t="shared" si="13"/>
        <v>0.00001538%</v>
      </c>
    </row>
    <row r="255" spans="1:26" ht="15.5" x14ac:dyDescent="0.25">
      <c r="A255" s="2">
        <v>249</v>
      </c>
      <c r="B255" s="23">
        <v>46271</v>
      </c>
      <c r="C255" s="24">
        <v>0.55592592592592593</v>
      </c>
      <c r="D255" s="2">
        <v>89</v>
      </c>
      <c r="E255" s="2">
        <v>99</v>
      </c>
      <c r="F255" s="3">
        <v>1.0437700000000001</v>
      </c>
      <c r="G255" s="3">
        <v>104.058572</v>
      </c>
      <c r="H255" s="2" t="s">
        <v>256</v>
      </c>
      <c r="I255" s="2">
        <v>26</v>
      </c>
      <c r="J255" s="2">
        <v>-98</v>
      </c>
      <c r="K255" s="3" t="s">
        <v>13</v>
      </c>
      <c r="M255" s="7">
        <f t="shared" si="6"/>
        <v>742.31</v>
      </c>
      <c r="N255" s="7">
        <f t="shared" si="7"/>
        <v>3.4</v>
      </c>
      <c r="P255" s="1">
        <v>91</v>
      </c>
      <c r="Q255" s="7">
        <v>99</v>
      </c>
      <c r="R255" s="26">
        <f t="shared" si="8"/>
        <v>2</v>
      </c>
      <c r="S255" s="26">
        <f t="shared" si="9"/>
        <v>0</v>
      </c>
      <c r="T255" s="26">
        <f t="shared" si="10"/>
        <v>2.197802197802198</v>
      </c>
      <c r="U255" s="26">
        <f t="shared" si="11"/>
        <v>0</v>
      </c>
      <c r="W255" s="7">
        <v>1.0437540000000001</v>
      </c>
      <c r="X255" s="7">
        <v>104.058604</v>
      </c>
      <c r="Y255" s="7" t="str">
        <f t="shared" si="12"/>
        <v>0.00153293%</v>
      </c>
      <c r="Z255" s="7" t="str">
        <f t="shared" si="13"/>
        <v>0.00003075%</v>
      </c>
    </row>
    <row r="256" spans="1:26" ht="15.5" x14ac:dyDescent="0.25">
      <c r="A256" s="2">
        <v>250</v>
      </c>
      <c r="B256" s="23">
        <v>46271</v>
      </c>
      <c r="C256" s="24">
        <v>0.55599537037037039</v>
      </c>
      <c r="D256" s="2">
        <v>89</v>
      </c>
      <c r="E256" s="2">
        <v>99</v>
      </c>
      <c r="F256" s="3">
        <v>1.04416</v>
      </c>
      <c r="G256" s="3">
        <v>104.058511</v>
      </c>
      <c r="H256" s="2" t="s">
        <v>257</v>
      </c>
      <c r="I256" s="2">
        <v>26</v>
      </c>
      <c r="J256" s="2">
        <v>-99</v>
      </c>
      <c r="K256" s="3" t="s">
        <v>13</v>
      </c>
      <c r="M256" s="7">
        <f t="shared" si="6"/>
        <v>785.55</v>
      </c>
      <c r="N256" s="7">
        <f t="shared" si="7"/>
        <v>3.5</v>
      </c>
      <c r="P256" s="1">
        <v>91</v>
      </c>
      <c r="Q256" s="7">
        <v>99</v>
      </c>
      <c r="R256" s="26">
        <f t="shared" si="8"/>
        <v>2</v>
      </c>
      <c r="S256" s="26">
        <f t="shared" si="9"/>
        <v>0</v>
      </c>
      <c r="T256" s="26">
        <f t="shared" si="10"/>
        <v>2.197802197802198</v>
      </c>
      <c r="U256" s="26">
        <f t="shared" si="11"/>
        <v>0</v>
      </c>
      <c r="W256" s="7">
        <v>1.044127</v>
      </c>
      <c r="X256" s="7">
        <v>104.058487</v>
      </c>
      <c r="Y256" s="7" t="str">
        <f t="shared" si="12"/>
        <v>0.00316054%</v>
      </c>
      <c r="Z256" s="7" t="str">
        <f t="shared" si="13"/>
        <v>0.00002306%</v>
      </c>
    </row>
    <row r="257" spans="1:26" ht="15.5" x14ac:dyDescent="0.25">
      <c r="A257" s="2">
        <v>251</v>
      </c>
      <c r="B257" s="23">
        <v>46271</v>
      </c>
      <c r="C257" s="24">
        <v>0.55606481481481485</v>
      </c>
      <c r="D257" s="2">
        <v>89</v>
      </c>
      <c r="E257" s="2">
        <v>99</v>
      </c>
      <c r="F257" s="3">
        <v>1.0445500000000001</v>
      </c>
      <c r="G257" s="3">
        <v>104.058458</v>
      </c>
      <c r="H257" s="2" t="s">
        <v>258</v>
      </c>
      <c r="I257" s="2">
        <v>26</v>
      </c>
      <c r="J257" s="2">
        <v>-102</v>
      </c>
      <c r="K257" s="3" t="s">
        <v>13</v>
      </c>
      <c r="M257" s="7">
        <f t="shared" si="6"/>
        <v>828.86</v>
      </c>
      <c r="N257" s="7">
        <f t="shared" si="7"/>
        <v>3.6</v>
      </c>
      <c r="P257" s="1">
        <v>91</v>
      </c>
      <c r="Q257" s="7">
        <v>99</v>
      </c>
      <c r="R257" s="26">
        <f t="shared" si="8"/>
        <v>2</v>
      </c>
      <c r="S257" s="26">
        <f t="shared" si="9"/>
        <v>0</v>
      </c>
      <c r="T257" s="26">
        <f t="shared" si="10"/>
        <v>2.197802197802198</v>
      </c>
      <c r="U257" s="26">
        <f t="shared" si="11"/>
        <v>0</v>
      </c>
      <c r="W257" s="7">
        <v>1.0445850000000001</v>
      </c>
      <c r="X257" s="7">
        <v>104.05848400000001</v>
      </c>
      <c r="Y257" s="7" t="str">
        <f t="shared" si="12"/>
        <v>0.00335061%</v>
      </c>
      <c r="Z257" s="7" t="str">
        <f t="shared" si="13"/>
        <v>0.00002499%</v>
      </c>
    </row>
    <row r="258" spans="1:26" ht="15.5" x14ac:dyDescent="0.25">
      <c r="A258" s="2">
        <v>252</v>
      </c>
      <c r="B258" s="23">
        <v>46271</v>
      </c>
      <c r="C258" s="24">
        <v>0.55613425925925919</v>
      </c>
      <c r="D258" s="2">
        <v>89</v>
      </c>
      <c r="E258" s="2">
        <v>99</v>
      </c>
      <c r="F258" s="3">
        <v>1.04477</v>
      </c>
      <c r="G258" s="3">
        <v>104.058504</v>
      </c>
      <c r="H258" s="2" t="s">
        <v>259</v>
      </c>
      <c r="I258" s="2">
        <v>26</v>
      </c>
      <c r="J258" s="2">
        <v>-105</v>
      </c>
      <c r="K258" s="3" t="s">
        <v>13</v>
      </c>
      <c r="M258" s="7">
        <f t="shared" si="6"/>
        <v>853.36</v>
      </c>
      <c r="N258" s="7">
        <f t="shared" si="7"/>
        <v>3.7</v>
      </c>
      <c r="P258" s="1">
        <v>91</v>
      </c>
      <c r="Q258" s="7">
        <v>99</v>
      </c>
      <c r="R258" s="26">
        <f t="shared" si="8"/>
        <v>2</v>
      </c>
      <c r="S258" s="26">
        <f t="shared" si="9"/>
        <v>0</v>
      </c>
      <c r="T258" s="26">
        <f t="shared" si="10"/>
        <v>2.197802197802198</v>
      </c>
      <c r="U258" s="26">
        <f t="shared" si="11"/>
        <v>0</v>
      </c>
      <c r="W258" s="7">
        <v>1.044754</v>
      </c>
      <c r="X258" s="7">
        <v>104.05847300000001</v>
      </c>
      <c r="Y258" s="7" t="str">
        <f t="shared" si="12"/>
        <v>0.00153146%</v>
      </c>
      <c r="Z258" s="7" t="str">
        <f t="shared" si="13"/>
        <v>0.00002979%</v>
      </c>
    </row>
    <row r="259" spans="1:26" ht="15.5" x14ac:dyDescent="0.25">
      <c r="A259" s="2">
        <v>253</v>
      </c>
      <c r="B259" s="23">
        <v>46271</v>
      </c>
      <c r="C259" s="24">
        <v>0.55620370370370364</v>
      </c>
      <c r="D259" s="2">
        <v>90</v>
      </c>
      <c r="E259" s="2">
        <v>99</v>
      </c>
      <c r="F259" s="3">
        <v>1.0449900000000001</v>
      </c>
      <c r="G259" s="3">
        <v>104.05855099999999</v>
      </c>
      <c r="H259" s="2" t="s">
        <v>260</v>
      </c>
      <c r="I259" s="2">
        <v>26</v>
      </c>
      <c r="J259" s="2">
        <v>-104</v>
      </c>
      <c r="K259" s="3" t="s">
        <v>13</v>
      </c>
      <c r="M259" s="7">
        <f t="shared" si="6"/>
        <v>877.9</v>
      </c>
      <c r="N259" s="7">
        <f t="shared" si="7"/>
        <v>3.8</v>
      </c>
      <c r="P259" s="1">
        <v>91</v>
      </c>
      <c r="Q259" s="7">
        <v>99</v>
      </c>
      <c r="R259" s="26">
        <f t="shared" si="8"/>
        <v>1</v>
      </c>
      <c r="S259" s="26">
        <f t="shared" si="9"/>
        <v>0</v>
      </c>
      <c r="T259" s="26">
        <f t="shared" si="10"/>
        <v>1.098901098901099</v>
      </c>
      <c r="U259" s="26">
        <f t="shared" si="11"/>
        <v>0</v>
      </c>
      <c r="W259" s="7">
        <v>1.045023</v>
      </c>
      <c r="X259" s="7">
        <v>104.05856799999999</v>
      </c>
      <c r="Y259" s="7" t="str">
        <f t="shared" si="12"/>
        <v>0.00315783%</v>
      </c>
      <c r="Z259" s="7" t="str">
        <f t="shared" si="13"/>
        <v>0.00001634%</v>
      </c>
    </row>
    <row r="260" spans="1:26" ht="15.5" x14ac:dyDescent="0.25">
      <c r="A260" s="2">
        <v>254</v>
      </c>
      <c r="B260" s="23">
        <v>46271</v>
      </c>
      <c r="C260" s="24">
        <v>0.5562731481481481</v>
      </c>
      <c r="D260" s="2">
        <v>90</v>
      </c>
      <c r="E260" s="2">
        <v>99</v>
      </c>
      <c r="F260" s="3">
        <v>1.04521</v>
      </c>
      <c r="G260" s="3">
        <v>104.05859</v>
      </c>
      <c r="H260" s="2" t="s">
        <v>261</v>
      </c>
      <c r="I260" s="2">
        <v>26</v>
      </c>
      <c r="J260" s="2">
        <v>-107</v>
      </c>
      <c r="K260" s="3" t="s">
        <v>13</v>
      </c>
      <c r="M260" s="7">
        <f t="shared" si="6"/>
        <v>902.44</v>
      </c>
      <c r="N260" s="7">
        <f t="shared" si="7"/>
        <v>3.9</v>
      </c>
      <c r="P260" s="1">
        <v>91</v>
      </c>
      <c r="Q260" s="7">
        <v>99</v>
      </c>
      <c r="R260" s="26">
        <f t="shared" si="8"/>
        <v>1</v>
      </c>
      <c r="S260" s="26">
        <f t="shared" si="9"/>
        <v>0</v>
      </c>
      <c r="T260" s="26">
        <f t="shared" si="10"/>
        <v>1.098901098901099</v>
      </c>
      <c r="U260" s="26">
        <f t="shared" si="11"/>
        <v>0</v>
      </c>
      <c r="W260" s="7">
        <v>1.045237</v>
      </c>
      <c r="X260" s="7">
        <v>104.05861899999999</v>
      </c>
      <c r="Y260" s="7" t="str">
        <f t="shared" si="12"/>
        <v>0.00258315%</v>
      </c>
      <c r="Z260" s="7" t="str">
        <f t="shared" si="13"/>
        <v>0.00002787%</v>
      </c>
    </row>
    <row r="261" spans="1:26" ht="15.5" x14ac:dyDescent="0.25">
      <c r="A261" s="2">
        <v>255</v>
      </c>
      <c r="B261" s="23">
        <v>46271</v>
      </c>
      <c r="C261" s="24">
        <v>0.55634259259259256</v>
      </c>
      <c r="D261" s="2">
        <v>90</v>
      </c>
      <c r="E261" s="2">
        <v>99</v>
      </c>
      <c r="F261" s="3">
        <v>1.045337</v>
      </c>
      <c r="G261" s="3">
        <v>104.05856300000001</v>
      </c>
      <c r="H261" s="2" t="s">
        <v>262</v>
      </c>
      <c r="I261" s="2">
        <v>26</v>
      </c>
      <c r="J261" s="2">
        <v>-109</v>
      </c>
      <c r="K261" s="3" t="s">
        <v>13</v>
      </c>
      <c r="M261" s="7">
        <f t="shared" si="6"/>
        <v>916.5</v>
      </c>
      <c r="N261" s="7">
        <f t="shared" si="7"/>
        <v>4</v>
      </c>
      <c r="P261" s="1">
        <v>91</v>
      </c>
      <c r="Q261" s="7">
        <v>99</v>
      </c>
      <c r="R261" s="26">
        <f t="shared" si="8"/>
        <v>1</v>
      </c>
      <c r="S261" s="26">
        <f t="shared" si="9"/>
        <v>0</v>
      </c>
      <c r="T261" s="26">
        <f t="shared" si="10"/>
        <v>1.098901098901099</v>
      </c>
      <c r="U261" s="26">
        <f t="shared" si="11"/>
        <v>0</v>
      </c>
      <c r="W261" s="7">
        <v>1.045307</v>
      </c>
      <c r="X261" s="7">
        <v>104.05853999999999</v>
      </c>
      <c r="Y261" s="7" t="str">
        <f t="shared" si="12"/>
        <v>0.00286997%</v>
      </c>
      <c r="Z261" s="7" t="str">
        <f t="shared" si="13"/>
        <v>0.00002210%</v>
      </c>
    </row>
    <row r="262" spans="1:26" ht="15.5" x14ac:dyDescent="0.25">
      <c r="A262" s="2">
        <v>256</v>
      </c>
      <c r="B262" s="23">
        <v>46271</v>
      </c>
      <c r="C262" s="24">
        <v>0.55641203703703701</v>
      </c>
      <c r="D262" s="2">
        <v>90</v>
      </c>
      <c r="E262" s="2">
        <v>99</v>
      </c>
      <c r="F262" s="3">
        <v>1.0454639999999999</v>
      </c>
      <c r="G262" s="3">
        <v>104.058536</v>
      </c>
      <c r="H262" s="2" t="s">
        <v>263</v>
      </c>
      <c r="I262" s="2">
        <v>26</v>
      </c>
      <c r="J262" s="2">
        <v>-110</v>
      </c>
      <c r="K262" s="3" t="s">
        <v>13</v>
      </c>
      <c r="M262" s="7">
        <f t="shared" si="6"/>
        <v>930.57</v>
      </c>
      <c r="N262" s="7">
        <f t="shared" si="7"/>
        <v>4.0999999999999996</v>
      </c>
      <c r="P262" s="1">
        <v>91</v>
      </c>
      <c r="Q262" s="7">
        <v>99</v>
      </c>
      <c r="R262" s="26">
        <f t="shared" si="8"/>
        <v>1</v>
      </c>
      <c r="S262" s="26">
        <f t="shared" si="9"/>
        <v>0</v>
      </c>
      <c r="T262" s="26">
        <f t="shared" si="10"/>
        <v>1.098901098901099</v>
      </c>
      <c r="U262" s="26">
        <f t="shared" si="11"/>
        <v>0</v>
      </c>
      <c r="W262" s="7">
        <v>1.045436</v>
      </c>
      <c r="X262" s="7">
        <v>104.058521</v>
      </c>
      <c r="Y262" s="7" t="str">
        <f t="shared" si="12"/>
        <v>0.00267831%</v>
      </c>
      <c r="Z262" s="7" t="str">
        <f t="shared" si="13"/>
        <v>0.00001441%</v>
      </c>
    </row>
    <row r="263" spans="1:26" ht="15.5" x14ac:dyDescent="0.25">
      <c r="A263" s="2">
        <v>257</v>
      </c>
      <c r="B263" s="23">
        <v>46271</v>
      </c>
      <c r="C263" s="24">
        <v>0.55648148148148147</v>
      </c>
      <c r="D263" s="2">
        <v>88</v>
      </c>
      <c r="E263" s="2">
        <v>99</v>
      </c>
      <c r="F263" s="3">
        <v>1.0455909999999999</v>
      </c>
      <c r="G263" s="3">
        <v>104.05851800000001</v>
      </c>
      <c r="H263" s="2" t="s">
        <v>264</v>
      </c>
      <c r="I263" s="2">
        <v>26</v>
      </c>
      <c r="J263" s="2">
        <v>-113</v>
      </c>
      <c r="K263" s="3" t="s">
        <v>13</v>
      </c>
      <c r="M263" s="7">
        <f t="shared" si="6"/>
        <v>944.67</v>
      </c>
      <c r="N263" s="7">
        <f t="shared" si="7"/>
        <v>4.2</v>
      </c>
      <c r="P263" s="1">
        <v>91</v>
      </c>
      <c r="Q263" s="7">
        <v>99</v>
      </c>
      <c r="R263" s="26">
        <f t="shared" si="8"/>
        <v>3</v>
      </c>
      <c r="S263" s="26">
        <f t="shared" si="9"/>
        <v>0</v>
      </c>
      <c r="T263" s="26">
        <f t="shared" si="10"/>
        <v>3.296703296703297</v>
      </c>
      <c r="U263" s="26">
        <f t="shared" si="11"/>
        <v>0</v>
      </c>
      <c r="W263" s="7">
        <v>1.0455639999999999</v>
      </c>
      <c r="X263" s="7">
        <v>104.058502</v>
      </c>
      <c r="Y263" s="7" t="str">
        <f t="shared" si="12"/>
        <v>0.00258234%</v>
      </c>
      <c r="Z263" s="7" t="str">
        <f t="shared" si="13"/>
        <v>0.00001538%</v>
      </c>
    </row>
    <row r="264" spans="1:26" ht="15.5" x14ac:dyDescent="0.25">
      <c r="A264" s="2">
        <v>258</v>
      </c>
      <c r="B264" s="23">
        <v>46271</v>
      </c>
      <c r="C264" s="24">
        <v>0.55655092592592592</v>
      </c>
      <c r="D264" s="2">
        <v>88</v>
      </c>
      <c r="E264" s="2">
        <v>99</v>
      </c>
      <c r="F264" s="3">
        <v>1.0456749999999999</v>
      </c>
      <c r="G264" s="3">
        <v>104.05855</v>
      </c>
      <c r="H264" s="2" t="s">
        <v>265</v>
      </c>
      <c r="I264" s="2">
        <v>26</v>
      </c>
      <c r="J264" s="2">
        <v>-114</v>
      </c>
      <c r="K264" s="3" t="s">
        <v>13</v>
      </c>
      <c r="M264" s="7">
        <f t="shared" si="6"/>
        <v>954.06</v>
      </c>
      <c r="N264" s="7">
        <f t="shared" si="7"/>
        <v>4.3</v>
      </c>
      <c r="P264" s="1">
        <v>88</v>
      </c>
      <c r="Q264" s="7">
        <v>99</v>
      </c>
      <c r="R264" s="26">
        <f t="shared" si="8"/>
        <v>0</v>
      </c>
      <c r="S264" s="26">
        <f t="shared" si="9"/>
        <v>0</v>
      </c>
      <c r="T264" s="26">
        <f t="shared" si="10"/>
        <v>0</v>
      </c>
      <c r="U264" s="26">
        <f t="shared" si="11"/>
        <v>0</v>
      </c>
      <c r="W264" s="7">
        <v>1.04566</v>
      </c>
      <c r="X264" s="7">
        <v>104.05857399999999</v>
      </c>
      <c r="Y264" s="7" t="str">
        <f t="shared" si="12"/>
        <v>0.00143450%</v>
      </c>
      <c r="Z264" s="7" t="str">
        <f t="shared" si="13"/>
        <v>0.00002306%</v>
      </c>
    </row>
    <row r="265" spans="1:26" ht="15.5" x14ac:dyDescent="0.25">
      <c r="A265" s="2">
        <v>259</v>
      </c>
      <c r="B265" s="23">
        <v>46271</v>
      </c>
      <c r="C265" s="24">
        <v>0.55662037037037038</v>
      </c>
      <c r="D265" s="2">
        <v>88</v>
      </c>
      <c r="E265" s="2">
        <v>99</v>
      </c>
      <c r="F265" s="3">
        <v>1.0457590000000001</v>
      </c>
      <c r="G265" s="3">
        <v>104.058582</v>
      </c>
      <c r="H265" s="2" t="s">
        <v>266</v>
      </c>
      <c r="I265" s="2">
        <v>26</v>
      </c>
      <c r="J265" s="2">
        <v>-116</v>
      </c>
      <c r="K265" s="3" t="s">
        <v>13</v>
      </c>
      <c r="M265" s="7">
        <f t="shared" si="6"/>
        <v>963.46</v>
      </c>
      <c r="N265" s="7">
        <f t="shared" si="7"/>
        <v>4.4000000000000004</v>
      </c>
      <c r="P265" s="1">
        <v>88</v>
      </c>
      <c r="Q265" s="7">
        <v>99</v>
      </c>
      <c r="R265" s="26">
        <f t="shared" si="8"/>
        <v>0</v>
      </c>
      <c r="S265" s="26">
        <f t="shared" si="9"/>
        <v>0</v>
      </c>
      <c r="T265" s="26">
        <f t="shared" si="10"/>
        <v>0</v>
      </c>
      <c r="U265" s="26">
        <f>ABS(E265-Q265)/Q265*100</f>
        <v>0</v>
      </c>
      <c r="W265" s="7">
        <v>1.0457780000000001</v>
      </c>
      <c r="X265" s="7">
        <v>104.058547</v>
      </c>
      <c r="Y265" s="7" t="str">
        <f t="shared" si="12"/>
        <v>0.00181683%</v>
      </c>
      <c r="Z265" s="7" t="str">
        <f t="shared" si="13"/>
        <v>0.00003363%</v>
      </c>
    </row>
    <row r="266" spans="1:26" ht="15.5" x14ac:dyDescent="0.25">
      <c r="A266" s="2">
        <v>260</v>
      </c>
      <c r="B266" s="23">
        <v>46271</v>
      </c>
      <c r="C266" s="24">
        <v>0.55668981481481483</v>
      </c>
      <c r="D266" s="2">
        <v>86</v>
      </c>
      <c r="E266" s="2">
        <v>99</v>
      </c>
      <c r="F266" s="3">
        <v>1.0458430000000001</v>
      </c>
      <c r="G266" s="3">
        <v>104.058617</v>
      </c>
      <c r="H266" s="2" t="s">
        <v>267</v>
      </c>
      <c r="I266" s="2">
        <v>26</v>
      </c>
      <c r="J266" s="2">
        <v>-117</v>
      </c>
      <c r="K266" s="3" t="s">
        <v>13</v>
      </c>
      <c r="M266" s="7">
        <f t="shared" si="6"/>
        <v>972.88</v>
      </c>
      <c r="N266" s="7">
        <f t="shared" si="7"/>
        <v>4.5</v>
      </c>
      <c r="P266" s="1">
        <v>88</v>
      </c>
      <c r="Q266" s="7">
        <v>99</v>
      </c>
      <c r="R266" s="26">
        <f t="shared" si="8"/>
        <v>2</v>
      </c>
      <c r="S266" s="26">
        <f t="shared" si="9"/>
        <v>0</v>
      </c>
      <c r="T266" s="26">
        <f t="shared" si="10"/>
        <v>2.2727272727272729</v>
      </c>
      <c r="U266" s="26">
        <f t="shared" si="11"/>
        <v>0</v>
      </c>
      <c r="W266" s="7">
        <v>1.0458689999999999</v>
      </c>
      <c r="X266" s="7">
        <v>104.0586</v>
      </c>
      <c r="Y266" s="7" t="str">
        <f t="shared" si="12"/>
        <v>0.00248597%</v>
      </c>
      <c r="Z266" s="7" t="str">
        <f t="shared" si="13"/>
        <v>0.00001634%</v>
      </c>
    </row>
    <row r="267" spans="1:26" ht="15.5" x14ac:dyDescent="0.25">
      <c r="A267" s="2">
        <v>261</v>
      </c>
      <c r="B267" s="23">
        <v>46271</v>
      </c>
      <c r="C267" s="24">
        <v>0.55675925925925929</v>
      </c>
      <c r="D267" s="2">
        <v>86</v>
      </c>
      <c r="E267" s="2">
        <v>99</v>
      </c>
      <c r="F267" s="3">
        <v>1.0460179999999999</v>
      </c>
      <c r="G267" s="3">
        <v>104.05868100000001</v>
      </c>
      <c r="H267" s="2" t="s">
        <v>268</v>
      </c>
      <c r="I267" s="2">
        <v>26</v>
      </c>
      <c r="J267" s="2">
        <v>-118</v>
      </c>
      <c r="K267" s="3" t="s">
        <v>13</v>
      </c>
      <c r="M267" s="7">
        <f t="shared" si="6"/>
        <v>992.52</v>
      </c>
      <c r="N267" s="7">
        <f t="shared" si="7"/>
        <v>4.5999999999999996</v>
      </c>
      <c r="P267" s="1">
        <v>88</v>
      </c>
      <c r="Q267" s="7">
        <v>99</v>
      </c>
      <c r="R267" s="26">
        <f t="shared" si="8"/>
        <v>2</v>
      </c>
      <c r="S267" s="26">
        <f t="shared" si="9"/>
        <v>0</v>
      </c>
      <c r="T267" s="26">
        <f t="shared" si="10"/>
        <v>2.2727272727272729</v>
      </c>
      <c r="U267" s="26">
        <f t="shared" si="11"/>
        <v>0</v>
      </c>
      <c r="W267" s="7">
        <v>1.0460480000000001</v>
      </c>
      <c r="X267" s="7">
        <v>104.058707</v>
      </c>
      <c r="Y267" s="7" t="str">
        <f t="shared" si="12"/>
        <v>0.00286794%</v>
      </c>
      <c r="Z267" s="7" t="str">
        <f t="shared" si="13"/>
        <v>0.00002499%</v>
      </c>
    </row>
    <row r="268" spans="1:26" ht="15.5" x14ac:dyDescent="0.25">
      <c r="A268" s="2">
        <v>262</v>
      </c>
      <c r="B268" s="23">
        <v>46271</v>
      </c>
      <c r="C268" s="24">
        <v>0.55682870370370374</v>
      </c>
      <c r="D268" s="2">
        <v>88</v>
      </c>
      <c r="E268" s="2">
        <v>99</v>
      </c>
      <c r="F268" s="3">
        <v>1.0461929999999999</v>
      </c>
      <c r="G268" s="3">
        <v>104.058746</v>
      </c>
      <c r="H268" s="2" t="s">
        <v>269</v>
      </c>
      <c r="I268" s="2">
        <v>26</v>
      </c>
      <c r="J268" s="2">
        <v>-119</v>
      </c>
      <c r="K268" s="3" t="s">
        <v>13</v>
      </c>
      <c r="M268" s="7">
        <f t="shared" si="6"/>
        <v>1012.2</v>
      </c>
      <c r="N268" s="7">
        <f t="shared" si="7"/>
        <v>4.7</v>
      </c>
      <c r="P268" s="1">
        <v>88</v>
      </c>
      <c r="Q268" s="7">
        <v>99</v>
      </c>
      <c r="R268" s="26">
        <f t="shared" si="8"/>
        <v>0</v>
      </c>
      <c r="S268" s="26">
        <f t="shared" si="9"/>
        <v>0</v>
      </c>
      <c r="T268" s="26">
        <f t="shared" si="10"/>
        <v>0</v>
      </c>
      <c r="U268" s="26">
        <f t="shared" si="11"/>
        <v>0</v>
      </c>
      <c r="W268" s="7">
        <v>1.0462130000000001</v>
      </c>
      <c r="X268" s="7">
        <v>104.058718</v>
      </c>
      <c r="Y268" s="7" t="str">
        <f t="shared" si="12"/>
        <v>0.00191166%</v>
      </c>
      <c r="Z268" s="7" t="str">
        <f t="shared" si="13"/>
        <v>0.00002691%</v>
      </c>
    </row>
    <row r="269" spans="1:26" ht="15.5" x14ac:dyDescent="0.25">
      <c r="A269" s="2">
        <v>263</v>
      </c>
      <c r="B269" s="23">
        <v>46271</v>
      </c>
      <c r="C269" s="24">
        <v>0.5568981481481482</v>
      </c>
      <c r="D269" s="2">
        <v>90</v>
      </c>
      <c r="E269" s="2">
        <v>99</v>
      </c>
      <c r="F269" s="3">
        <v>1.0463480000000001</v>
      </c>
      <c r="G269" s="3">
        <v>104.058803</v>
      </c>
      <c r="H269" s="2" t="s">
        <v>270</v>
      </c>
      <c r="I269" s="2">
        <v>26</v>
      </c>
      <c r="J269" s="2">
        <v>-120</v>
      </c>
      <c r="K269" s="3" t="s">
        <v>13</v>
      </c>
      <c r="M269" s="7">
        <f t="shared" si="6"/>
        <v>1029.67</v>
      </c>
      <c r="N269" s="7">
        <f t="shared" si="7"/>
        <v>4.8</v>
      </c>
      <c r="P269" s="1">
        <v>88</v>
      </c>
      <c r="Q269" s="7">
        <v>99</v>
      </c>
      <c r="R269" s="26">
        <f t="shared" si="8"/>
        <v>2</v>
      </c>
      <c r="S269" s="26">
        <f t="shared" si="9"/>
        <v>0</v>
      </c>
      <c r="T269" s="26">
        <f t="shared" si="10"/>
        <v>2.2727272727272729</v>
      </c>
      <c r="U269" s="26">
        <f t="shared" si="11"/>
        <v>0</v>
      </c>
      <c r="W269" s="7">
        <v>1.046327</v>
      </c>
      <c r="X269" s="7">
        <v>104.058779</v>
      </c>
      <c r="Y269" s="7" t="str">
        <f>TEXT(ABS(F269-W269)/ABS(W269)*100,"0.00000000")&amp;"%"</f>
        <v>0.00200702%</v>
      </c>
      <c r="Z269" s="7" t="str">
        <f t="shared" si="13"/>
        <v>0.00002306%</v>
      </c>
    </row>
    <row r="270" spans="1:26" ht="15.5" x14ac:dyDescent="0.25">
      <c r="A270" s="2"/>
      <c r="B270" s="23"/>
      <c r="C270" s="24"/>
      <c r="D270" s="2"/>
      <c r="E270" s="2"/>
      <c r="F270" s="3"/>
      <c r="G270" s="3"/>
      <c r="H270" s="2"/>
      <c r="I270" s="2"/>
      <c r="J270" s="2"/>
      <c r="K270" s="3"/>
      <c r="P270" s="1"/>
    </row>
    <row r="271" spans="1:26" ht="15.5" x14ac:dyDescent="0.25">
      <c r="A271" s="27">
        <v>264</v>
      </c>
      <c r="B271" s="23">
        <v>46271</v>
      </c>
      <c r="C271" s="24">
        <v>0.68263888888888891</v>
      </c>
      <c r="D271" s="8">
        <v>87</v>
      </c>
      <c r="E271" s="8">
        <v>99</v>
      </c>
      <c r="F271" s="11" t="s">
        <v>147</v>
      </c>
      <c r="G271" s="11" t="s">
        <v>148</v>
      </c>
      <c r="H271" s="12">
        <v>1.8</v>
      </c>
      <c r="I271" s="8">
        <v>8</v>
      </c>
      <c r="J271" s="8">
        <v>-55</v>
      </c>
      <c r="K271" s="13" t="s">
        <v>13</v>
      </c>
      <c r="N271" s="7">
        <f>ROUND((C271-$C$271)*1440,2)</f>
        <v>0</v>
      </c>
      <c r="P271" s="1">
        <v>87</v>
      </c>
      <c r="Q271" s="7">
        <v>99</v>
      </c>
      <c r="R271" s="26">
        <f>ABS(D271-P271)</f>
        <v>0</v>
      </c>
      <c r="S271" s="26">
        <f>ABS(E271-Q271)</f>
        <v>0</v>
      </c>
      <c r="T271" s="26">
        <f>ABS(D271-P271)/P271*100</f>
        <v>0</v>
      </c>
      <c r="U271" s="26">
        <f>ABS(E271-Q271)/Q271*100</f>
        <v>0</v>
      </c>
    </row>
    <row r="272" spans="1:26" ht="15.5" x14ac:dyDescent="0.25">
      <c r="A272" s="27">
        <v>265</v>
      </c>
      <c r="B272" s="23">
        <v>46271</v>
      </c>
      <c r="C272" s="24">
        <v>0.68273148148148144</v>
      </c>
      <c r="D272" s="8">
        <v>87</v>
      </c>
      <c r="E272" s="8">
        <v>99</v>
      </c>
      <c r="F272" s="11" t="s">
        <v>147</v>
      </c>
      <c r="G272" s="11" t="s">
        <v>148</v>
      </c>
      <c r="H272" s="12">
        <v>1.81</v>
      </c>
      <c r="I272" s="8">
        <v>8</v>
      </c>
      <c r="J272" s="8">
        <v>-38</v>
      </c>
      <c r="K272" s="13" t="s">
        <v>13</v>
      </c>
      <c r="N272" s="7">
        <f t="shared" ref="N272:N310" si="14">ROUND((C272-$C$271)*1440,2)</f>
        <v>0.13</v>
      </c>
      <c r="P272" s="1">
        <v>87</v>
      </c>
      <c r="Q272" s="7">
        <v>99</v>
      </c>
      <c r="R272" s="26">
        <f t="shared" ref="R272:R310" si="15">ABS(D272-P272)</f>
        <v>0</v>
      </c>
      <c r="S272" s="26">
        <f t="shared" ref="S272:S310" si="16">ABS(E272-Q272)</f>
        <v>0</v>
      </c>
      <c r="T272" s="26">
        <f t="shared" ref="T272:T310" si="17">ABS(D272-P272)/P272*100</f>
        <v>0</v>
      </c>
      <c r="U272" s="26">
        <f t="shared" ref="U272:U310" si="18">ABS(E272-Q272)/Q272*100</f>
        <v>0</v>
      </c>
    </row>
    <row r="273" spans="1:21" ht="15.5" x14ac:dyDescent="0.25">
      <c r="A273" s="27">
        <v>266</v>
      </c>
      <c r="B273" s="23">
        <v>46271</v>
      </c>
      <c r="C273" s="24">
        <v>0.68282407407407408</v>
      </c>
      <c r="D273" s="8">
        <v>87</v>
      </c>
      <c r="E273" s="8">
        <v>99</v>
      </c>
      <c r="F273" s="11" t="s">
        <v>147</v>
      </c>
      <c r="G273" s="11" t="s">
        <v>148</v>
      </c>
      <c r="H273" s="12">
        <v>1.83</v>
      </c>
      <c r="I273" s="8">
        <v>9</v>
      </c>
      <c r="J273" s="8">
        <v>-38</v>
      </c>
      <c r="K273" s="13" t="s">
        <v>13</v>
      </c>
      <c r="N273" s="7">
        <f t="shared" si="14"/>
        <v>0.27</v>
      </c>
      <c r="P273" s="1">
        <v>87</v>
      </c>
      <c r="Q273" s="7">
        <v>99</v>
      </c>
      <c r="R273" s="26">
        <f t="shared" si="15"/>
        <v>0</v>
      </c>
      <c r="S273" s="26">
        <f t="shared" si="16"/>
        <v>0</v>
      </c>
      <c r="T273" s="26">
        <f t="shared" si="17"/>
        <v>0</v>
      </c>
      <c r="U273" s="26">
        <f t="shared" si="18"/>
        <v>0</v>
      </c>
    </row>
    <row r="274" spans="1:21" ht="15.5" x14ac:dyDescent="0.25">
      <c r="A274" s="27">
        <v>267</v>
      </c>
      <c r="B274" s="23">
        <v>46271</v>
      </c>
      <c r="C274" s="24">
        <v>0.68292824074074077</v>
      </c>
      <c r="D274" s="8">
        <v>87</v>
      </c>
      <c r="E274" s="8">
        <v>99</v>
      </c>
      <c r="F274" s="11" t="s">
        <v>147</v>
      </c>
      <c r="G274" s="11" t="s">
        <v>148</v>
      </c>
      <c r="H274" s="12">
        <v>1.5</v>
      </c>
      <c r="I274" s="8">
        <v>9</v>
      </c>
      <c r="J274" s="8">
        <v>-46</v>
      </c>
      <c r="K274" s="13" t="s">
        <v>13</v>
      </c>
      <c r="N274" s="7">
        <f t="shared" si="14"/>
        <v>0.42</v>
      </c>
      <c r="P274" s="1">
        <v>87</v>
      </c>
      <c r="Q274" s="7">
        <v>99</v>
      </c>
      <c r="R274" s="26">
        <f t="shared" si="15"/>
        <v>0</v>
      </c>
      <c r="S274" s="26">
        <f t="shared" si="16"/>
        <v>0</v>
      </c>
      <c r="T274" s="26">
        <f t="shared" si="17"/>
        <v>0</v>
      </c>
      <c r="U274" s="26">
        <f t="shared" si="18"/>
        <v>0</v>
      </c>
    </row>
    <row r="275" spans="1:21" ht="15.5" x14ac:dyDescent="0.25">
      <c r="A275" s="27">
        <v>268</v>
      </c>
      <c r="B275" s="23">
        <v>46271</v>
      </c>
      <c r="C275" s="24">
        <v>0.6830208333333333</v>
      </c>
      <c r="D275" s="8">
        <v>87</v>
      </c>
      <c r="E275" s="8">
        <v>99</v>
      </c>
      <c r="F275" s="11" t="s">
        <v>147</v>
      </c>
      <c r="G275" s="11" t="s">
        <v>148</v>
      </c>
      <c r="H275" s="12">
        <v>1.63</v>
      </c>
      <c r="I275" s="8">
        <v>9</v>
      </c>
      <c r="J275" s="8">
        <v>-58</v>
      </c>
      <c r="K275" s="13" t="s">
        <v>13</v>
      </c>
      <c r="N275" s="7">
        <f t="shared" si="14"/>
        <v>0.55000000000000004</v>
      </c>
      <c r="P275" s="1">
        <v>87</v>
      </c>
      <c r="Q275" s="7">
        <v>99</v>
      </c>
      <c r="R275" s="26">
        <f t="shared" si="15"/>
        <v>0</v>
      </c>
      <c r="S275" s="26">
        <f t="shared" si="16"/>
        <v>0</v>
      </c>
      <c r="T275" s="26">
        <f t="shared" si="17"/>
        <v>0</v>
      </c>
      <c r="U275" s="26">
        <f t="shared" si="18"/>
        <v>0</v>
      </c>
    </row>
    <row r="276" spans="1:21" ht="15.5" x14ac:dyDescent="0.25">
      <c r="A276" s="27">
        <v>269</v>
      </c>
      <c r="B276" s="23">
        <v>46271</v>
      </c>
      <c r="C276" s="24">
        <v>0.68312499999999998</v>
      </c>
      <c r="D276" s="8">
        <v>87</v>
      </c>
      <c r="E276" s="8">
        <v>99</v>
      </c>
      <c r="F276" s="11" t="s">
        <v>147</v>
      </c>
      <c r="G276" s="11" t="s">
        <v>148</v>
      </c>
      <c r="H276" s="12">
        <v>1.52</v>
      </c>
      <c r="I276" s="8">
        <v>9</v>
      </c>
      <c r="J276" s="8">
        <v>-68</v>
      </c>
      <c r="K276" s="13" t="s">
        <v>13</v>
      </c>
      <c r="N276" s="7">
        <f t="shared" si="14"/>
        <v>0.7</v>
      </c>
      <c r="P276" s="1">
        <v>87</v>
      </c>
      <c r="Q276" s="7">
        <v>99</v>
      </c>
      <c r="R276" s="26">
        <f t="shared" si="15"/>
        <v>0</v>
      </c>
      <c r="S276" s="26">
        <f t="shared" si="16"/>
        <v>0</v>
      </c>
      <c r="T276" s="26">
        <f t="shared" si="17"/>
        <v>0</v>
      </c>
      <c r="U276" s="26">
        <f t="shared" si="18"/>
        <v>0</v>
      </c>
    </row>
    <row r="277" spans="1:21" ht="15.5" x14ac:dyDescent="0.25">
      <c r="A277" s="27">
        <v>270</v>
      </c>
      <c r="B277" s="23">
        <v>46271</v>
      </c>
      <c r="C277" s="24">
        <v>0.68321759259259263</v>
      </c>
      <c r="D277" s="8">
        <v>87</v>
      </c>
      <c r="E277" s="8">
        <v>99</v>
      </c>
      <c r="F277" s="11" t="s">
        <v>147</v>
      </c>
      <c r="G277" s="11" t="s">
        <v>148</v>
      </c>
      <c r="H277" s="12">
        <v>1.87</v>
      </c>
      <c r="I277" s="8">
        <v>9</v>
      </c>
      <c r="J277" s="8">
        <v>-67</v>
      </c>
      <c r="K277" s="13" t="s">
        <v>13</v>
      </c>
      <c r="N277" s="7">
        <f t="shared" si="14"/>
        <v>0.83</v>
      </c>
      <c r="P277" s="1">
        <v>87</v>
      </c>
      <c r="Q277" s="7">
        <v>99</v>
      </c>
      <c r="R277" s="26">
        <f t="shared" si="15"/>
        <v>0</v>
      </c>
      <c r="S277" s="26">
        <f t="shared" si="16"/>
        <v>0</v>
      </c>
      <c r="T277" s="26">
        <f t="shared" si="17"/>
        <v>0</v>
      </c>
      <c r="U277" s="26">
        <f t="shared" si="18"/>
        <v>0</v>
      </c>
    </row>
    <row r="278" spans="1:21" ht="15.5" x14ac:dyDescent="0.25">
      <c r="A278" s="27">
        <v>271</v>
      </c>
      <c r="B278" s="23">
        <v>46271</v>
      </c>
      <c r="C278" s="24">
        <v>0.68332175925925931</v>
      </c>
      <c r="D278" s="8">
        <v>87</v>
      </c>
      <c r="E278" s="8">
        <v>99</v>
      </c>
      <c r="F278" s="11" t="s">
        <v>147</v>
      </c>
      <c r="G278" s="11" t="s">
        <v>148</v>
      </c>
      <c r="H278" s="12">
        <v>1.76</v>
      </c>
      <c r="I278" s="8">
        <v>9</v>
      </c>
      <c r="J278" s="8">
        <v>-53</v>
      </c>
      <c r="K278" s="13" t="s">
        <v>13</v>
      </c>
      <c r="N278" s="7">
        <f t="shared" si="14"/>
        <v>0.98</v>
      </c>
      <c r="P278" s="1">
        <v>87</v>
      </c>
      <c r="Q278" s="7">
        <v>99</v>
      </c>
      <c r="R278" s="26">
        <f t="shared" si="15"/>
        <v>0</v>
      </c>
      <c r="S278" s="26">
        <f t="shared" si="16"/>
        <v>0</v>
      </c>
      <c r="T278" s="26">
        <f t="shared" si="17"/>
        <v>0</v>
      </c>
      <c r="U278" s="26">
        <f t="shared" si="18"/>
        <v>0</v>
      </c>
    </row>
    <row r="279" spans="1:21" ht="15.5" x14ac:dyDescent="0.25">
      <c r="A279" s="27">
        <v>272</v>
      </c>
      <c r="B279" s="23">
        <v>46271</v>
      </c>
      <c r="C279" s="24">
        <v>0.68341435185185195</v>
      </c>
      <c r="D279" s="8">
        <v>87</v>
      </c>
      <c r="E279" s="8">
        <v>99</v>
      </c>
      <c r="F279" s="11" t="s">
        <v>147</v>
      </c>
      <c r="G279" s="11" t="s">
        <v>148</v>
      </c>
      <c r="H279" s="12">
        <v>1.62</v>
      </c>
      <c r="I279" s="8">
        <v>9</v>
      </c>
      <c r="J279" s="8">
        <v>-68</v>
      </c>
      <c r="K279" s="13" t="s">
        <v>13</v>
      </c>
      <c r="N279" s="7">
        <f t="shared" si="14"/>
        <v>1.1200000000000001</v>
      </c>
      <c r="P279" s="1">
        <v>87</v>
      </c>
      <c r="Q279" s="7">
        <v>99</v>
      </c>
      <c r="R279" s="26">
        <f t="shared" si="15"/>
        <v>0</v>
      </c>
      <c r="S279" s="26">
        <f t="shared" si="16"/>
        <v>0</v>
      </c>
      <c r="T279" s="26">
        <f t="shared" si="17"/>
        <v>0</v>
      </c>
      <c r="U279" s="26">
        <f t="shared" si="18"/>
        <v>0</v>
      </c>
    </row>
    <row r="280" spans="1:21" ht="15.5" x14ac:dyDescent="0.25">
      <c r="A280" s="27">
        <v>273</v>
      </c>
      <c r="B280" s="23">
        <v>46271</v>
      </c>
      <c r="C280" s="24">
        <v>0.68351851851851853</v>
      </c>
      <c r="D280" s="8">
        <v>87</v>
      </c>
      <c r="E280" s="8">
        <v>99</v>
      </c>
      <c r="F280" s="11" t="s">
        <v>147</v>
      </c>
      <c r="G280" s="11" t="s">
        <v>148</v>
      </c>
      <c r="H280" s="12">
        <v>1.49</v>
      </c>
      <c r="I280" s="8">
        <v>9</v>
      </c>
      <c r="J280" s="8">
        <v>-68</v>
      </c>
      <c r="K280" s="13" t="s">
        <v>13</v>
      </c>
      <c r="N280" s="7">
        <f t="shared" si="14"/>
        <v>1.27</v>
      </c>
      <c r="P280" s="1">
        <v>87</v>
      </c>
      <c r="Q280" s="7">
        <v>99</v>
      </c>
      <c r="R280" s="26">
        <f t="shared" si="15"/>
        <v>0</v>
      </c>
      <c r="S280" s="26">
        <f t="shared" si="16"/>
        <v>0</v>
      </c>
      <c r="T280" s="26">
        <f t="shared" si="17"/>
        <v>0</v>
      </c>
      <c r="U280" s="26">
        <f t="shared" si="18"/>
        <v>0</v>
      </c>
    </row>
    <row r="281" spans="1:21" ht="15.5" x14ac:dyDescent="0.25">
      <c r="A281" s="27">
        <v>274</v>
      </c>
      <c r="B281" s="23">
        <v>46271</v>
      </c>
      <c r="C281" s="24">
        <v>0.68361111111111106</v>
      </c>
      <c r="D281" s="8">
        <v>87</v>
      </c>
      <c r="E281" s="8">
        <v>99</v>
      </c>
      <c r="F281" s="11" t="s">
        <v>149</v>
      </c>
      <c r="G281" s="11" t="s">
        <v>150</v>
      </c>
      <c r="H281" s="12">
        <v>1.61</v>
      </c>
      <c r="I281" s="8">
        <v>8</v>
      </c>
      <c r="J281" s="8">
        <v>-42</v>
      </c>
      <c r="K281" s="13" t="s">
        <v>13</v>
      </c>
      <c r="N281" s="7">
        <f t="shared" si="14"/>
        <v>1.4</v>
      </c>
      <c r="P281" s="1">
        <v>87</v>
      </c>
      <c r="Q281" s="7">
        <v>99</v>
      </c>
      <c r="R281" s="26">
        <f t="shared" si="15"/>
        <v>0</v>
      </c>
      <c r="S281" s="26">
        <f t="shared" si="16"/>
        <v>0</v>
      </c>
      <c r="T281" s="26">
        <f t="shared" si="17"/>
        <v>0</v>
      </c>
      <c r="U281" s="26">
        <f t="shared" si="18"/>
        <v>0</v>
      </c>
    </row>
    <row r="282" spans="1:21" ht="15.5" x14ac:dyDescent="0.25">
      <c r="A282" s="27">
        <v>275</v>
      </c>
      <c r="B282" s="23">
        <v>46271</v>
      </c>
      <c r="C282" s="24">
        <v>0.68371527777777785</v>
      </c>
      <c r="D282" s="8">
        <v>87</v>
      </c>
      <c r="E282" s="8">
        <v>99</v>
      </c>
      <c r="F282" s="11" t="s">
        <v>149</v>
      </c>
      <c r="G282" s="11" t="s">
        <v>150</v>
      </c>
      <c r="H282" s="12">
        <v>1.62</v>
      </c>
      <c r="I282" s="8">
        <v>9</v>
      </c>
      <c r="J282" s="8">
        <v>-47</v>
      </c>
      <c r="K282" s="13" t="s">
        <v>13</v>
      </c>
      <c r="N282" s="7">
        <f t="shared" si="14"/>
        <v>1.55</v>
      </c>
      <c r="P282" s="1">
        <v>87</v>
      </c>
      <c r="Q282" s="7">
        <v>99</v>
      </c>
      <c r="R282" s="26">
        <f t="shared" si="15"/>
        <v>0</v>
      </c>
      <c r="S282" s="26">
        <f t="shared" si="16"/>
        <v>0</v>
      </c>
      <c r="T282" s="26">
        <f t="shared" si="17"/>
        <v>0</v>
      </c>
      <c r="U282" s="26">
        <f t="shared" si="18"/>
        <v>0</v>
      </c>
    </row>
    <row r="283" spans="1:21" ht="15.5" x14ac:dyDescent="0.25">
      <c r="A283" s="27">
        <v>276</v>
      </c>
      <c r="B283" s="23">
        <v>46271</v>
      </c>
      <c r="C283" s="24">
        <v>0.68380787037037039</v>
      </c>
      <c r="D283" s="8">
        <v>25</v>
      </c>
      <c r="E283" s="8">
        <v>99</v>
      </c>
      <c r="F283" s="11" t="s">
        <v>149</v>
      </c>
      <c r="G283" s="11" t="s">
        <v>150</v>
      </c>
      <c r="H283" s="12">
        <v>1.81</v>
      </c>
      <c r="I283" s="8">
        <v>9</v>
      </c>
      <c r="J283" s="8">
        <v>-38</v>
      </c>
      <c r="K283" s="13" t="s">
        <v>151</v>
      </c>
      <c r="N283" s="7">
        <f t="shared" si="14"/>
        <v>1.68</v>
      </c>
      <c r="P283" s="1">
        <v>87</v>
      </c>
      <c r="Q283" s="7">
        <v>99</v>
      </c>
      <c r="R283" s="26">
        <f t="shared" si="15"/>
        <v>62</v>
      </c>
      <c r="S283" s="26">
        <f t="shared" si="16"/>
        <v>0</v>
      </c>
      <c r="T283" s="26">
        <f t="shared" si="17"/>
        <v>71.264367816091962</v>
      </c>
      <c r="U283" s="26">
        <f t="shared" si="18"/>
        <v>0</v>
      </c>
    </row>
    <row r="284" spans="1:21" ht="15.5" x14ac:dyDescent="0.25">
      <c r="A284" s="27">
        <v>277</v>
      </c>
      <c r="B284" s="23">
        <v>46271</v>
      </c>
      <c r="C284" s="24">
        <v>0.68391203703703696</v>
      </c>
      <c r="D284" s="8">
        <v>0</v>
      </c>
      <c r="E284" s="8">
        <v>99</v>
      </c>
      <c r="F284" s="11" t="s">
        <v>152</v>
      </c>
      <c r="G284" s="11" t="s">
        <v>153</v>
      </c>
      <c r="H284" s="12">
        <v>1.77</v>
      </c>
      <c r="I284" s="8">
        <v>8</v>
      </c>
      <c r="J284" s="8">
        <v>-37</v>
      </c>
      <c r="K284" s="13" t="s">
        <v>151</v>
      </c>
      <c r="N284" s="7">
        <f t="shared" si="14"/>
        <v>1.83</v>
      </c>
      <c r="P284" s="1">
        <v>87</v>
      </c>
      <c r="Q284" s="7">
        <v>99</v>
      </c>
      <c r="R284" s="26">
        <f t="shared" si="15"/>
        <v>87</v>
      </c>
      <c r="S284" s="26">
        <f t="shared" si="16"/>
        <v>0</v>
      </c>
      <c r="T284" s="26">
        <f t="shared" si="17"/>
        <v>100</v>
      </c>
      <c r="U284" s="26">
        <f t="shared" si="18"/>
        <v>0</v>
      </c>
    </row>
    <row r="285" spans="1:21" ht="15.5" x14ac:dyDescent="0.25">
      <c r="A285" s="27">
        <v>278</v>
      </c>
      <c r="B285" s="23">
        <v>46271</v>
      </c>
      <c r="C285" s="24">
        <v>0.6840046296296296</v>
      </c>
      <c r="D285" s="8">
        <v>0</v>
      </c>
      <c r="E285" s="8">
        <v>99</v>
      </c>
      <c r="F285" s="11" t="s">
        <v>154</v>
      </c>
      <c r="G285" s="11" t="s">
        <v>155</v>
      </c>
      <c r="H285" s="12">
        <v>1.89</v>
      </c>
      <c r="I285" s="8">
        <v>9</v>
      </c>
      <c r="J285" s="8">
        <v>-69</v>
      </c>
      <c r="K285" s="13" t="s">
        <v>151</v>
      </c>
      <c r="N285" s="7">
        <f t="shared" si="14"/>
        <v>1.97</v>
      </c>
      <c r="P285" s="1">
        <v>87</v>
      </c>
      <c r="Q285" s="7">
        <v>99</v>
      </c>
      <c r="R285" s="26">
        <f t="shared" si="15"/>
        <v>87</v>
      </c>
      <c r="S285" s="26">
        <f t="shared" si="16"/>
        <v>0</v>
      </c>
      <c r="T285" s="26">
        <f t="shared" si="17"/>
        <v>100</v>
      </c>
      <c r="U285" s="26">
        <f t="shared" si="18"/>
        <v>0</v>
      </c>
    </row>
    <row r="286" spans="1:21" ht="15.5" x14ac:dyDescent="0.25">
      <c r="A286" s="27">
        <v>279</v>
      </c>
      <c r="B286" s="23">
        <v>46271</v>
      </c>
      <c r="C286" s="24">
        <v>0.68410879629629628</v>
      </c>
      <c r="D286" s="8">
        <v>0</v>
      </c>
      <c r="E286" s="8">
        <v>98</v>
      </c>
      <c r="F286" s="11" t="s">
        <v>156</v>
      </c>
      <c r="G286" s="11" t="s">
        <v>157</v>
      </c>
      <c r="H286" s="12">
        <v>1.69</v>
      </c>
      <c r="I286" s="8">
        <v>8</v>
      </c>
      <c r="J286" s="8">
        <v>-51</v>
      </c>
      <c r="K286" s="13" t="s">
        <v>151</v>
      </c>
      <c r="N286" s="7">
        <f t="shared" si="14"/>
        <v>2.12</v>
      </c>
      <c r="P286" s="1">
        <v>87</v>
      </c>
      <c r="Q286" s="7">
        <v>99</v>
      </c>
      <c r="R286" s="26">
        <f t="shared" si="15"/>
        <v>87</v>
      </c>
      <c r="S286" s="26">
        <f t="shared" si="16"/>
        <v>1</v>
      </c>
      <c r="T286" s="26">
        <f t="shared" si="17"/>
        <v>100</v>
      </c>
      <c r="U286" s="26">
        <f t="shared" si="18"/>
        <v>1.0101010101010102</v>
      </c>
    </row>
    <row r="287" spans="1:21" ht="15.5" x14ac:dyDescent="0.25">
      <c r="A287" s="27">
        <v>280</v>
      </c>
      <c r="B287" s="23">
        <v>46271</v>
      </c>
      <c r="C287" s="24">
        <v>0.68420138888888893</v>
      </c>
      <c r="D287" s="8">
        <v>2</v>
      </c>
      <c r="E287" s="8">
        <v>99</v>
      </c>
      <c r="F287" s="11" t="s">
        <v>158</v>
      </c>
      <c r="G287" s="11" t="s">
        <v>159</v>
      </c>
      <c r="H287" s="12">
        <v>1.52</v>
      </c>
      <c r="I287" s="8">
        <v>8</v>
      </c>
      <c r="J287" s="8">
        <v>-68</v>
      </c>
      <c r="K287" s="13" t="s">
        <v>151</v>
      </c>
      <c r="N287" s="7">
        <f t="shared" si="14"/>
        <v>2.25</v>
      </c>
      <c r="P287" s="1">
        <v>87</v>
      </c>
      <c r="Q287" s="7">
        <v>99</v>
      </c>
      <c r="R287" s="26">
        <f t="shared" si="15"/>
        <v>85</v>
      </c>
      <c r="S287" s="26">
        <f t="shared" si="16"/>
        <v>0</v>
      </c>
      <c r="T287" s="26">
        <f t="shared" si="17"/>
        <v>97.701149425287355</v>
      </c>
      <c r="U287" s="26">
        <f t="shared" si="18"/>
        <v>0</v>
      </c>
    </row>
    <row r="288" spans="1:21" ht="15.5" x14ac:dyDescent="0.25">
      <c r="A288" s="27">
        <v>281</v>
      </c>
      <c r="B288" s="23">
        <v>46271</v>
      </c>
      <c r="C288" s="24">
        <v>0.6843055555555555</v>
      </c>
      <c r="D288" s="8">
        <v>2</v>
      </c>
      <c r="E288" s="8">
        <v>98</v>
      </c>
      <c r="F288" s="11" t="s">
        <v>160</v>
      </c>
      <c r="G288" s="11" t="s">
        <v>161</v>
      </c>
      <c r="H288" s="12">
        <v>1.8</v>
      </c>
      <c r="I288" s="8">
        <v>9</v>
      </c>
      <c r="J288" s="8">
        <v>-44</v>
      </c>
      <c r="K288" s="13" t="s">
        <v>151</v>
      </c>
      <c r="N288" s="7">
        <f t="shared" si="14"/>
        <v>2.4</v>
      </c>
      <c r="P288" s="1">
        <v>87</v>
      </c>
      <c r="Q288" s="7">
        <v>99</v>
      </c>
      <c r="R288" s="26">
        <f t="shared" si="15"/>
        <v>85</v>
      </c>
      <c r="S288" s="26">
        <f t="shared" si="16"/>
        <v>1</v>
      </c>
      <c r="T288" s="26">
        <f t="shared" si="17"/>
        <v>97.701149425287355</v>
      </c>
      <c r="U288" s="26">
        <f t="shared" si="18"/>
        <v>1.0101010101010102</v>
      </c>
    </row>
    <row r="289" spans="1:21" ht="15.5" x14ac:dyDescent="0.25">
      <c r="A289" s="27">
        <v>282</v>
      </c>
      <c r="B289" s="23">
        <v>46271</v>
      </c>
      <c r="C289" s="24">
        <v>0.68439814814814814</v>
      </c>
      <c r="D289" s="8">
        <v>0</v>
      </c>
      <c r="E289" s="8">
        <v>99</v>
      </c>
      <c r="F289" s="11" t="s">
        <v>162</v>
      </c>
      <c r="G289" s="11" t="s">
        <v>163</v>
      </c>
      <c r="H289" s="12">
        <v>1.83</v>
      </c>
      <c r="I289" s="8">
        <v>8</v>
      </c>
      <c r="J289" s="8">
        <v>-38</v>
      </c>
      <c r="K289" s="13" t="s">
        <v>151</v>
      </c>
      <c r="N289" s="7">
        <f t="shared" si="14"/>
        <v>2.5299999999999998</v>
      </c>
      <c r="P289" s="1">
        <v>87</v>
      </c>
      <c r="Q289" s="7">
        <v>99</v>
      </c>
      <c r="R289" s="26">
        <f t="shared" si="15"/>
        <v>87</v>
      </c>
      <c r="S289" s="26">
        <f t="shared" si="16"/>
        <v>0</v>
      </c>
      <c r="T289" s="26">
        <f t="shared" si="17"/>
        <v>100</v>
      </c>
      <c r="U289" s="26">
        <f t="shared" si="18"/>
        <v>0</v>
      </c>
    </row>
    <row r="290" spans="1:21" ht="15.5" x14ac:dyDescent="0.25">
      <c r="A290" s="27">
        <v>283</v>
      </c>
      <c r="B290" s="23">
        <v>46271</v>
      </c>
      <c r="C290" s="24">
        <v>0.68450231481481483</v>
      </c>
      <c r="D290" s="8">
        <v>12</v>
      </c>
      <c r="E290" s="8">
        <v>98</v>
      </c>
      <c r="F290" s="11" t="s">
        <v>164</v>
      </c>
      <c r="G290" s="11" t="s">
        <v>165</v>
      </c>
      <c r="H290" s="12">
        <v>1.73</v>
      </c>
      <c r="I290" s="8">
        <v>8</v>
      </c>
      <c r="J290" s="8">
        <v>-64</v>
      </c>
      <c r="K290" s="13" t="s">
        <v>151</v>
      </c>
      <c r="N290" s="7">
        <f t="shared" si="14"/>
        <v>2.68</v>
      </c>
      <c r="P290" s="1">
        <v>87</v>
      </c>
      <c r="Q290" s="7">
        <v>99</v>
      </c>
      <c r="R290" s="26">
        <f t="shared" si="15"/>
        <v>75</v>
      </c>
      <c r="S290" s="26">
        <f t="shared" si="16"/>
        <v>1</v>
      </c>
      <c r="T290" s="26">
        <f t="shared" si="17"/>
        <v>86.206896551724128</v>
      </c>
      <c r="U290" s="26">
        <f>ABS(E290-Q290)/Q290*100</f>
        <v>1.0101010101010102</v>
      </c>
    </row>
    <row r="291" spans="1:21" ht="15.5" x14ac:dyDescent="0.25">
      <c r="A291" s="27">
        <v>284</v>
      </c>
      <c r="B291" s="23">
        <v>46271</v>
      </c>
      <c r="C291" s="24">
        <v>0.68459490740740747</v>
      </c>
      <c r="D291" s="8">
        <v>10</v>
      </c>
      <c r="E291" s="8">
        <v>98</v>
      </c>
      <c r="F291" s="11" t="s">
        <v>166</v>
      </c>
      <c r="G291" s="11" t="s">
        <v>167</v>
      </c>
      <c r="H291" s="12">
        <v>1.83</v>
      </c>
      <c r="I291" s="8">
        <v>8</v>
      </c>
      <c r="J291" s="8">
        <v>-38</v>
      </c>
      <c r="K291" s="13" t="s">
        <v>151</v>
      </c>
      <c r="N291" s="7">
        <f t="shared" si="14"/>
        <v>2.82</v>
      </c>
      <c r="P291" s="1">
        <v>87</v>
      </c>
      <c r="Q291" s="7">
        <v>99</v>
      </c>
      <c r="R291" s="26">
        <f t="shared" si="15"/>
        <v>77</v>
      </c>
      <c r="S291" s="26">
        <f t="shared" si="16"/>
        <v>1</v>
      </c>
      <c r="T291" s="26">
        <f t="shared" si="17"/>
        <v>88.505747126436788</v>
      </c>
      <c r="U291" s="26">
        <f t="shared" si="18"/>
        <v>1.0101010101010102</v>
      </c>
    </row>
    <row r="292" spans="1:21" ht="15.5" x14ac:dyDescent="0.25">
      <c r="A292" s="27">
        <v>285</v>
      </c>
      <c r="B292" s="23">
        <v>46271</v>
      </c>
      <c r="C292" s="24">
        <v>0.68469907407407404</v>
      </c>
      <c r="D292" s="8">
        <v>15</v>
      </c>
      <c r="E292" s="8">
        <v>99</v>
      </c>
      <c r="F292" s="11" t="s">
        <v>168</v>
      </c>
      <c r="G292" s="11" t="s">
        <v>169</v>
      </c>
      <c r="H292" s="12">
        <v>1.7</v>
      </c>
      <c r="I292" s="8">
        <v>8</v>
      </c>
      <c r="J292" s="8">
        <v>-66</v>
      </c>
      <c r="K292" s="13" t="s">
        <v>151</v>
      </c>
      <c r="N292" s="7">
        <f t="shared" si="14"/>
        <v>2.97</v>
      </c>
      <c r="P292" s="1">
        <v>87</v>
      </c>
      <c r="Q292" s="7">
        <v>99</v>
      </c>
      <c r="R292" s="26">
        <f t="shared" si="15"/>
        <v>72</v>
      </c>
      <c r="S292" s="26">
        <f t="shared" si="16"/>
        <v>0</v>
      </c>
      <c r="T292" s="26">
        <f t="shared" si="17"/>
        <v>82.758620689655174</v>
      </c>
      <c r="U292" s="26">
        <f t="shared" si="18"/>
        <v>0</v>
      </c>
    </row>
    <row r="293" spans="1:21" ht="15.5" x14ac:dyDescent="0.25">
      <c r="A293" s="27">
        <v>286</v>
      </c>
      <c r="B293" s="23">
        <v>46271</v>
      </c>
      <c r="C293" s="24">
        <v>0.68479166666666658</v>
      </c>
      <c r="D293" s="8">
        <v>19</v>
      </c>
      <c r="E293" s="8">
        <v>99</v>
      </c>
      <c r="F293" s="11" t="s">
        <v>168</v>
      </c>
      <c r="G293" s="11" t="s">
        <v>169</v>
      </c>
      <c r="H293" s="12">
        <v>1.71</v>
      </c>
      <c r="I293" s="8">
        <v>9</v>
      </c>
      <c r="J293" s="8">
        <v>-59</v>
      </c>
      <c r="K293" s="13" t="s">
        <v>151</v>
      </c>
      <c r="N293" s="7">
        <f t="shared" si="14"/>
        <v>3.1</v>
      </c>
      <c r="P293" s="1">
        <v>87</v>
      </c>
      <c r="Q293" s="7">
        <v>99</v>
      </c>
      <c r="R293" s="26">
        <f t="shared" si="15"/>
        <v>68</v>
      </c>
      <c r="S293" s="26">
        <f t="shared" si="16"/>
        <v>0</v>
      </c>
      <c r="T293" s="26">
        <f t="shared" si="17"/>
        <v>78.160919540229884</v>
      </c>
      <c r="U293" s="26">
        <f t="shared" si="18"/>
        <v>0</v>
      </c>
    </row>
    <row r="294" spans="1:21" ht="15.5" x14ac:dyDescent="0.25">
      <c r="A294" s="27">
        <v>287</v>
      </c>
      <c r="B294" s="23">
        <v>46271</v>
      </c>
      <c r="C294" s="24">
        <v>0.68489583333333337</v>
      </c>
      <c r="D294" s="8">
        <v>3</v>
      </c>
      <c r="E294" s="8">
        <v>99</v>
      </c>
      <c r="F294" s="11" t="s">
        <v>170</v>
      </c>
      <c r="G294" s="11" t="s">
        <v>169</v>
      </c>
      <c r="H294" s="12">
        <v>1.67</v>
      </c>
      <c r="I294" s="8">
        <v>8</v>
      </c>
      <c r="J294" s="8">
        <v>-53</v>
      </c>
      <c r="K294" s="13" t="s">
        <v>151</v>
      </c>
      <c r="N294" s="7">
        <f t="shared" si="14"/>
        <v>3.25</v>
      </c>
      <c r="P294" s="1">
        <v>87</v>
      </c>
      <c r="Q294" s="7">
        <v>99</v>
      </c>
      <c r="R294" s="26">
        <f t="shared" si="15"/>
        <v>84</v>
      </c>
      <c r="S294" s="26">
        <f t="shared" si="16"/>
        <v>0</v>
      </c>
      <c r="T294" s="26">
        <f t="shared" si="17"/>
        <v>96.551724137931032</v>
      </c>
      <c r="U294" s="26">
        <f t="shared" si="18"/>
        <v>0</v>
      </c>
    </row>
    <row r="295" spans="1:21" ht="15.5" x14ac:dyDescent="0.25">
      <c r="A295" s="27">
        <v>288</v>
      </c>
      <c r="B295" s="23">
        <v>46271</v>
      </c>
      <c r="C295" s="24">
        <v>0.6849884259259259</v>
      </c>
      <c r="D295" s="8">
        <v>9</v>
      </c>
      <c r="E295" s="8">
        <v>98</v>
      </c>
      <c r="F295" s="11" t="s">
        <v>170</v>
      </c>
      <c r="G295" s="11" t="s">
        <v>171</v>
      </c>
      <c r="H295" s="12">
        <v>1.47</v>
      </c>
      <c r="I295" s="8">
        <v>9</v>
      </c>
      <c r="J295" s="8">
        <v>-46</v>
      </c>
      <c r="K295" s="13" t="s">
        <v>151</v>
      </c>
      <c r="N295" s="7">
        <f t="shared" si="14"/>
        <v>3.38</v>
      </c>
      <c r="P295" s="1">
        <v>87</v>
      </c>
      <c r="Q295" s="7">
        <v>99</v>
      </c>
      <c r="R295" s="26">
        <f t="shared" si="15"/>
        <v>78</v>
      </c>
      <c r="S295" s="26">
        <f t="shared" si="16"/>
        <v>1</v>
      </c>
      <c r="T295" s="26">
        <f t="shared" si="17"/>
        <v>89.65517241379311</v>
      </c>
      <c r="U295" s="26">
        <f t="shared" si="18"/>
        <v>1.0101010101010102</v>
      </c>
    </row>
    <row r="296" spans="1:21" ht="15.5" x14ac:dyDescent="0.25">
      <c r="A296" s="27">
        <v>289</v>
      </c>
      <c r="B296" s="23">
        <v>46271</v>
      </c>
      <c r="C296" s="24">
        <v>0.6850925925925927</v>
      </c>
      <c r="D296" s="8">
        <v>14</v>
      </c>
      <c r="E296" s="8">
        <v>99</v>
      </c>
      <c r="F296" s="11" t="s">
        <v>170</v>
      </c>
      <c r="G296" s="11" t="s">
        <v>171</v>
      </c>
      <c r="H296" s="12">
        <v>1.51</v>
      </c>
      <c r="I296" s="8">
        <v>8</v>
      </c>
      <c r="J296" s="8">
        <v>-65</v>
      </c>
      <c r="K296" s="13" t="s">
        <v>151</v>
      </c>
      <c r="N296" s="7">
        <f t="shared" si="14"/>
        <v>3.53</v>
      </c>
      <c r="P296" s="1">
        <v>87</v>
      </c>
      <c r="Q296" s="7">
        <v>99</v>
      </c>
      <c r="R296" s="26">
        <f t="shared" si="15"/>
        <v>73</v>
      </c>
      <c r="S296" s="26">
        <f t="shared" si="16"/>
        <v>0</v>
      </c>
      <c r="T296" s="26">
        <f t="shared" si="17"/>
        <v>83.908045977011497</v>
      </c>
      <c r="U296" s="26">
        <f t="shared" si="18"/>
        <v>0</v>
      </c>
    </row>
    <row r="297" spans="1:21" ht="15.5" x14ac:dyDescent="0.25">
      <c r="A297" s="27">
        <v>290</v>
      </c>
      <c r="B297" s="23">
        <v>46271</v>
      </c>
      <c r="C297" s="24">
        <v>0.68518518518518512</v>
      </c>
      <c r="D297" s="8">
        <v>0</v>
      </c>
      <c r="E297" s="8">
        <v>98</v>
      </c>
      <c r="F297" s="11" t="s">
        <v>170</v>
      </c>
      <c r="G297" s="11" t="s">
        <v>172</v>
      </c>
      <c r="H297" s="12">
        <v>1.48</v>
      </c>
      <c r="I297" s="8">
        <v>8</v>
      </c>
      <c r="J297" s="8">
        <v>-36</v>
      </c>
      <c r="K297" s="13" t="s">
        <v>151</v>
      </c>
      <c r="N297" s="7">
        <f t="shared" si="14"/>
        <v>3.67</v>
      </c>
      <c r="P297" s="1">
        <v>87</v>
      </c>
      <c r="Q297" s="7">
        <v>99</v>
      </c>
      <c r="R297" s="26">
        <f t="shared" si="15"/>
        <v>87</v>
      </c>
      <c r="S297" s="26">
        <f t="shared" si="16"/>
        <v>1</v>
      </c>
      <c r="T297" s="26">
        <f t="shared" si="17"/>
        <v>100</v>
      </c>
      <c r="U297" s="26">
        <f t="shared" si="18"/>
        <v>1.0101010101010102</v>
      </c>
    </row>
    <row r="298" spans="1:21" ht="15.5" x14ac:dyDescent="0.25">
      <c r="A298" s="27">
        <v>291</v>
      </c>
      <c r="B298" s="23">
        <v>46271</v>
      </c>
      <c r="C298" s="24">
        <v>0.6852893518518518</v>
      </c>
      <c r="D298" s="8">
        <v>15</v>
      </c>
      <c r="E298" s="8">
        <v>99</v>
      </c>
      <c r="F298" s="11" t="s">
        <v>170</v>
      </c>
      <c r="G298" s="11" t="s">
        <v>172</v>
      </c>
      <c r="H298" s="12">
        <v>1.77</v>
      </c>
      <c r="I298" s="8">
        <v>8</v>
      </c>
      <c r="J298" s="8">
        <v>-64</v>
      </c>
      <c r="K298" s="13" t="s">
        <v>151</v>
      </c>
      <c r="N298" s="7">
        <f t="shared" si="14"/>
        <v>3.82</v>
      </c>
      <c r="P298" s="1">
        <v>87</v>
      </c>
      <c r="Q298" s="7">
        <v>99</v>
      </c>
      <c r="R298" s="26">
        <f t="shared" si="15"/>
        <v>72</v>
      </c>
      <c r="S298" s="26">
        <f t="shared" si="16"/>
        <v>0</v>
      </c>
      <c r="T298" s="26">
        <f t="shared" si="17"/>
        <v>82.758620689655174</v>
      </c>
      <c r="U298" s="26">
        <f t="shared" si="18"/>
        <v>0</v>
      </c>
    </row>
    <row r="299" spans="1:21" ht="15.5" x14ac:dyDescent="0.25">
      <c r="A299" s="27">
        <v>292</v>
      </c>
      <c r="B299" s="23">
        <v>46271</v>
      </c>
      <c r="C299" s="24">
        <v>0.68538194444444445</v>
      </c>
      <c r="D299" s="8">
        <v>8</v>
      </c>
      <c r="E299" s="8">
        <v>98</v>
      </c>
      <c r="F299" s="11" t="s">
        <v>170</v>
      </c>
      <c r="G299" s="11" t="s">
        <v>173</v>
      </c>
      <c r="H299" s="12">
        <v>1.61</v>
      </c>
      <c r="I299" s="8">
        <v>8</v>
      </c>
      <c r="J299" s="8">
        <v>-48</v>
      </c>
      <c r="K299" s="13" t="s">
        <v>151</v>
      </c>
      <c r="N299" s="7">
        <f t="shared" si="14"/>
        <v>3.95</v>
      </c>
      <c r="P299" s="1">
        <v>87</v>
      </c>
      <c r="Q299" s="7">
        <v>99</v>
      </c>
      <c r="R299" s="26">
        <f t="shared" si="15"/>
        <v>79</v>
      </c>
      <c r="S299" s="26">
        <f t="shared" si="16"/>
        <v>1</v>
      </c>
      <c r="T299" s="26">
        <f t="shared" si="17"/>
        <v>90.804597701149419</v>
      </c>
      <c r="U299" s="26">
        <f t="shared" si="18"/>
        <v>1.0101010101010102</v>
      </c>
    </row>
    <row r="300" spans="1:21" ht="15.5" x14ac:dyDescent="0.25">
      <c r="A300" s="27">
        <v>293</v>
      </c>
      <c r="B300" s="23">
        <v>46271</v>
      </c>
      <c r="C300" s="24">
        <v>0.68548611111111113</v>
      </c>
      <c r="D300" s="8">
        <v>4</v>
      </c>
      <c r="E300" s="8">
        <v>98</v>
      </c>
      <c r="F300" s="11" t="s">
        <v>170</v>
      </c>
      <c r="G300" s="11" t="s">
        <v>173</v>
      </c>
      <c r="H300" s="12">
        <v>1.7</v>
      </c>
      <c r="I300" s="8">
        <v>9</v>
      </c>
      <c r="J300" s="8">
        <v>-59</v>
      </c>
      <c r="K300" s="13" t="s">
        <v>151</v>
      </c>
      <c r="N300" s="7">
        <f t="shared" si="14"/>
        <v>4.0999999999999996</v>
      </c>
      <c r="P300" s="1">
        <v>87</v>
      </c>
      <c r="Q300" s="7">
        <v>99</v>
      </c>
      <c r="R300" s="26">
        <f t="shared" si="15"/>
        <v>83</v>
      </c>
      <c r="S300" s="26">
        <f t="shared" si="16"/>
        <v>1</v>
      </c>
      <c r="T300" s="26">
        <f t="shared" si="17"/>
        <v>95.402298850574709</v>
      </c>
      <c r="U300" s="26">
        <f>ABS(E300-Q300)/Q300*100</f>
        <v>1.0101010101010102</v>
      </c>
    </row>
    <row r="301" spans="1:21" ht="15.5" x14ac:dyDescent="0.25">
      <c r="A301" s="27">
        <v>294</v>
      </c>
      <c r="B301" s="23">
        <v>46271</v>
      </c>
      <c r="C301" s="24">
        <v>0.68557870370370377</v>
      </c>
      <c r="D301" s="8">
        <v>6</v>
      </c>
      <c r="E301" s="8">
        <v>98</v>
      </c>
      <c r="F301" s="11" t="s">
        <v>170</v>
      </c>
      <c r="G301" s="11" t="s">
        <v>174</v>
      </c>
      <c r="H301" s="12">
        <v>1.9</v>
      </c>
      <c r="I301" s="8">
        <v>9</v>
      </c>
      <c r="J301" s="8">
        <v>-54</v>
      </c>
      <c r="K301" s="13" t="s">
        <v>151</v>
      </c>
      <c r="N301" s="7">
        <f t="shared" si="14"/>
        <v>4.2300000000000004</v>
      </c>
      <c r="P301" s="1">
        <v>87</v>
      </c>
      <c r="Q301" s="7">
        <v>99</v>
      </c>
      <c r="R301" s="26">
        <f t="shared" si="15"/>
        <v>81</v>
      </c>
      <c r="S301" s="26">
        <f t="shared" si="16"/>
        <v>1</v>
      </c>
      <c r="T301" s="26">
        <f t="shared" si="17"/>
        <v>93.103448275862064</v>
      </c>
      <c r="U301" s="26">
        <f t="shared" si="18"/>
        <v>1.0101010101010102</v>
      </c>
    </row>
    <row r="302" spans="1:21" ht="15.5" x14ac:dyDescent="0.25">
      <c r="A302" s="27">
        <v>295</v>
      </c>
      <c r="B302" s="23">
        <v>46271</v>
      </c>
      <c r="C302" s="24">
        <v>0.68568287037037035</v>
      </c>
      <c r="D302" s="8">
        <v>18</v>
      </c>
      <c r="E302" s="8">
        <v>99</v>
      </c>
      <c r="F302" s="11" t="s">
        <v>175</v>
      </c>
      <c r="G302" s="11" t="s">
        <v>174</v>
      </c>
      <c r="H302" s="12">
        <v>1.58</v>
      </c>
      <c r="I302" s="8">
        <v>8</v>
      </c>
      <c r="J302" s="8">
        <v>-37</v>
      </c>
      <c r="K302" s="13" t="s">
        <v>151</v>
      </c>
      <c r="N302" s="7">
        <f t="shared" si="14"/>
        <v>4.38</v>
      </c>
      <c r="P302" s="1">
        <v>87</v>
      </c>
      <c r="Q302" s="7">
        <v>99</v>
      </c>
      <c r="R302" s="26">
        <f t="shared" si="15"/>
        <v>69</v>
      </c>
      <c r="S302" s="26">
        <f t="shared" si="16"/>
        <v>0</v>
      </c>
      <c r="T302" s="26">
        <f t="shared" si="17"/>
        <v>79.310344827586206</v>
      </c>
      <c r="U302" s="26">
        <f t="shared" si="18"/>
        <v>0</v>
      </c>
    </row>
    <row r="303" spans="1:21" ht="15.5" x14ac:dyDescent="0.25">
      <c r="A303" s="27">
        <v>296</v>
      </c>
      <c r="B303" s="23">
        <v>46271</v>
      </c>
      <c r="C303" s="24">
        <v>0.68577546296296299</v>
      </c>
      <c r="D303" s="8">
        <v>4</v>
      </c>
      <c r="E303" s="8">
        <v>99</v>
      </c>
      <c r="F303" s="11" t="s">
        <v>175</v>
      </c>
      <c r="G303" s="11" t="s">
        <v>148</v>
      </c>
      <c r="H303" s="12">
        <v>1.66</v>
      </c>
      <c r="I303" s="8">
        <v>8</v>
      </c>
      <c r="J303" s="8">
        <v>-61</v>
      </c>
      <c r="K303" s="13" t="s">
        <v>151</v>
      </c>
      <c r="N303" s="7">
        <f t="shared" si="14"/>
        <v>4.5199999999999996</v>
      </c>
      <c r="P303" s="1">
        <v>87</v>
      </c>
      <c r="Q303" s="7">
        <v>99</v>
      </c>
      <c r="R303" s="26">
        <f t="shared" si="15"/>
        <v>83</v>
      </c>
      <c r="S303" s="26">
        <f t="shared" si="16"/>
        <v>0</v>
      </c>
      <c r="T303" s="26">
        <f t="shared" si="17"/>
        <v>95.402298850574709</v>
      </c>
      <c r="U303" s="26">
        <f t="shared" si="18"/>
        <v>0</v>
      </c>
    </row>
    <row r="304" spans="1:21" ht="15.5" x14ac:dyDescent="0.25">
      <c r="A304" s="27">
        <v>297</v>
      </c>
      <c r="B304" s="23">
        <v>46271</v>
      </c>
      <c r="C304" s="24">
        <v>0.68587962962962967</v>
      </c>
      <c r="D304" s="8">
        <v>8</v>
      </c>
      <c r="E304" s="8">
        <v>99</v>
      </c>
      <c r="F304" s="11" t="s">
        <v>175</v>
      </c>
      <c r="G304" s="11" t="s">
        <v>148</v>
      </c>
      <c r="H304" s="12">
        <v>1.82</v>
      </c>
      <c r="I304" s="8">
        <v>9</v>
      </c>
      <c r="J304" s="8">
        <v>-64</v>
      </c>
      <c r="K304" s="13" t="s">
        <v>151</v>
      </c>
      <c r="N304" s="7">
        <f t="shared" si="14"/>
        <v>4.67</v>
      </c>
      <c r="P304" s="1">
        <v>87</v>
      </c>
      <c r="Q304" s="7">
        <v>99</v>
      </c>
      <c r="R304" s="26">
        <f t="shared" si="15"/>
        <v>79</v>
      </c>
      <c r="S304" s="26">
        <f t="shared" si="16"/>
        <v>0</v>
      </c>
      <c r="T304" s="26">
        <f t="shared" si="17"/>
        <v>90.804597701149419</v>
      </c>
      <c r="U304" s="26">
        <f t="shared" si="18"/>
        <v>0</v>
      </c>
    </row>
    <row r="305" spans="1:21" ht="15.5" x14ac:dyDescent="0.25">
      <c r="A305" s="27">
        <v>298</v>
      </c>
      <c r="B305" s="23">
        <v>46271</v>
      </c>
      <c r="C305" s="24">
        <v>0.68597222222222232</v>
      </c>
      <c r="D305" s="8">
        <v>8</v>
      </c>
      <c r="E305" s="8">
        <v>99</v>
      </c>
      <c r="F305" s="11" t="s">
        <v>175</v>
      </c>
      <c r="G305" s="11" t="s">
        <v>176</v>
      </c>
      <c r="H305" s="12">
        <v>1.57</v>
      </c>
      <c r="I305" s="8">
        <v>8</v>
      </c>
      <c r="J305" s="8">
        <v>-54</v>
      </c>
      <c r="K305" s="13" t="s">
        <v>151</v>
      </c>
      <c r="N305" s="7">
        <f t="shared" si="14"/>
        <v>4.8</v>
      </c>
      <c r="P305" s="1">
        <v>87</v>
      </c>
      <c r="Q305" s="7">
        <v>99</v>
      </c>
      <c r="R305" s="26">
        <f t="shared" si="15"/>
        <v>79</v>
      </c>
      <c r="S305" s="26">
        <f t="shared" si="16"/>
        <v>0</v>
      </c>
      <c r="T305" s="26">
        <f t="shared" si="17"/>
        <v>90.804597701149419</v>
      </c>
      <c r="U305" s="26">
        <f t="shared" si="18"/>
        <v>0</v>
      </c>
    </row>
    <row r="306" spans="1:21" ht="15.5" x14ac:dyDescent="0.25">
      <c r="A306" s="27">
        <v>299</v>
      </c>
      <c r="B306" s="23">
        <v>46271</v>
      </c>
      <c r="C306" s="24">
        <v>0.68607638888888889</v>
      </c>
      <c r="D306" s="8">
        <v>15</v>
      </c>
      <c r="E306" s="8">
        <v>99</v>
      </c>
      <c r="F306" s="11" t="s">
        <v>175</v>
      </c>
      <c r="G306" s="11" t="s">
        <v>176</v>
      </c>
      <c r="H306" s="12">
        <v>1.5</v>
      </c>
      <c r="I306" s="8">
        <v>8</v>
      </c>
      <c r="J306" s="8">
        <v>-41</v>
      </c>
      <c r="K306" s="13" t="s">
        <v>151</v>
      </c>
      <c r="N306" s="7">
        <f t="shared" si="14"/>
        <v>4.95</v>
      </c>
      <c r="P306" s="1">
        <v>87</v>
      </c>
      <c r="Q306" s="7">
        <v>99</v>
      </c>
      <c r="R306" s="26">
        <f t="shared" si="15"/>
        <v>72</v>
      </c>
      <c r="S306" s="26">
        <f t="shared" si="16"/>
        <v>0</v>
      </c>
      <c r="T306" s="26">
        <f t="shared" si="17"/>
        <v>82.758620689655174</v>
      </c>
      <c r="U306" s="26">
        <f t="shared" si="18"/>
        <v>0</v>
      </c>
    </row>
    <row r="307" spans="1:21" ht="15.5" x14ac:dyDescent="0.25">
      <c r="A307" s="27">
        <v>300</v>
      </c>
      <c r="B307" s="23">
        <v>46271</v>
      </c>
      <c r="C307" s="24">
        <v>0.68616898148148142</v>
      </c>
      <c r="D307" s="8">
        <v>13</v>
      </c>
      <c r="E307" s="8">
        <v>98</v>
      </c>
      <c r="F307" s="11" t="s">
        <v>175</v>
      </c>
      <c r="G307" s="11" t="s">
        <v>177</v>
      </c>
      <c r="H307" s="12">
        <v>1.6</v>
      </c>
      <c r="I307" s="8">
        <v>8</v>
      </c>
      <c r="J307" s="8">
        <v>-67</v>
      </c>
      <c r="K307" s="13" t="s">
        <v>151</v>
      </c>
      <c r="N307" s="7">
        <f t="shared" si="14"/>
        <v>5.08</v>
      </c>
      <c r="P307" s="1">
        <v>87</v>
      </c>
      <c r="Q307" s="7">
        <v>99</v>
      </c>
      <c r="R307" s="26">
        <f t="shared" si="15"/>
        <v>74</v>
      </c>
      <c r="S307" s="26">
        <f t="shared" si="16"/>
        <v>1</v>
      </c>
      <c r="T307" s="26">
        <f t="shared" si="17"/>
        <v>85.057471264367805</v>
      </c>
      <c r="U307" s="26">
        <f t="shared" si="18"/>
        <v>1.0101010101010102</v>
      </c>
    </row>
    <row r="308" spans="1:21" ht="15.5" x14ac:dyDescent="0.25">
      <c r="A308" s="27">
        <v>301</v>
      </c>
      <c r="B308" s="23">
        <v>46271</v>
      </c>
      <c r="C308" s="24">
        <v>0.68627314814814822</v>
      </c>
      <c r="D308" s="8">
        <v>1</v>
      </c>
      <c r="E308" s="8">
        <v>98</v>
      </c>
      <c r="F308" s="11" t="s">
        <v>175</v>
      </c>
      <c r="G308" s="11" t="s">
        <v>177</v>
      </c>
      <c r="H308" s="12">
        <v>1.54</v>
      </c>
      <c r="I308" s="8">
        <v>9</v>
      </c>
      <c r="J308" s="8">
        <v>-50</v>
      </c>
      <c r="K308" s="13" t="s">
        <v>151</v>
      </c>
      <c r="N308" s="7">
        <f t="shared" si="14"/>
        <v>5.23</v>
      </c>
      <c r="P308" s="1">
        <v>87</v>
      </c>
      <c r="Q308" s="7">
        <v>99</v>
      </c>
      <c r="R308" s="26">
        <f t="shared" si="15"/>
        <v>86</v>
      </c>
      <c r="S308" s="26">
        <f t="shared" si="16"/>
        <v>1</v>
      </c>
      <c r="T308" s="26">
        <f t="shared" si="17"/>
        <v>98.850574712643677</v>
      </c>
      <c r="U308" s="26">
        <f t="shared" si="18"/>
        <v>1.0101010101010102</v>
      </c>
    </row>
    <row r="309" spans="1:21" ht="15.5" x14ac:dyDescent="0.25">
      <c r="A309" s="27">
        <v>302</v>
      </c>
      <c r="B309" s="23">
        <v>46271</v>
      </c>
      <c r="C309" s="24">
        <v>0.68636574074074075</v>
      </c>
      <c r="D309" s="8">
        <v>1</v>
      </c>
      <c r="E309" s="8">
        <v>98</v>
      </c>
      <c r="F309" s="11" t="s">
        <v>175</v>
      </c>
      <c r="G309" s="11" t="s">
        <v>178</v>
      </c>
      <c r="H309" s="12">
        <v>1.91</v>
      </c>
      <c r="I309" s="8">
        <v>9</v>
      </c>
      <c r="J309" s="8">
        <v>-51</v>
      </c>
      <c r="K309" s="13" t="s">
        <v>151</v>
      </c>
      <c r="N309" s="7">
        <f t="shared" si="14"/>
        <v>5.37</v>
      </c>
      <c r="P309" s="1">
        <v>87</v>
      </c>
      <c r="Q309" s="7">
        <v>99</v>
      </c>
      <c r="R309" s="26">
        <f t="shared" si="15"/>
        <v>86</v>
      </c>
      <c r="S309" s="26">
        <f t="shared" si="16"/>
        <v>1</v>
      </c>
      <c r="T309" s="26">
        <f t="shared" si="17"/>
        <v>98.850574712643677</v>
      </c>
      <c r="U309" s="26">
        <f t="shared" si="18"/>
        <v>1.0101010101010102</v>
      </c>
    </row>
    <row r="310" spans="1:21" ht="15.5" x14ac:dyDescent="0.25">
      <c r="A310" s="27">
        <v>303</v>
      </c>
      <c r="B310" s="23">
        <v>46271</v>
      </c>
      <c r="C310" s="24">
        <v>0.68646990740740732</v>
      </c>
      <c r="D310" s="8">
        <v>0</v>
      </c>
      <c r="E310" s="8">
        <v>99</v>
      </c>
      <c r="F310" s="11" t="s">
        <v>175</v>
      </c>
      <c r="G310" s="11" t="s">
        <v>178</v>
      </c>
      <c r="H310" s="12">
        <v>1.85</v>
      </c>
      <c r="I310" s="8">
        <v>9</v>
      </c>
      <c r="J310" s="8">
        <v>-44</v>
      </c>
      <c r="K310" s="13" t="s">
        <v>151</v>
      </c>
      <c r="N310" s="7">
        <f t="shared" si="14"/>
        <v>5.52</v>
      </c>
      <c r="P310" s="1">
        <v>87</v>
      </c>
      <c r="Q310" s="7">
        <v>99</v>
      </c>
      <c r="R310" s="26">
        <f t="shared" si="15"/>
        <v>87</v>
      </c>
      <c r="S310" s="26">
        <f t="shared" si="16"/>
        <v>0</v>
      </c>
      <c r="T310" s="26">
        <f t="shared" si="17"/>
        <v>100</v>
      </c>
      <c r="U310" s="26">
        <f t="shared" si="18"/>
        <v>0</v>
      </c>
    </row>
    <row r="311" spans="1:21" ht="12.5" x14ac:dyDescent="0.25">
      <c r="B311" s="18"/>
      <c r="C311" s="19"/>
      <c r="H311" s="28"/>
    </row>
    <row r="312" spans="1:21" ht="12.5" x14ac:dyDescent="0.25">
      <c r="B312" s="18"/>
      <c r="C312" s="19"/>
      <c r="H312" s="28"/>
    </row>
    <row r="313" spans="1:21" ht="12.5" x14ac:dyDescent="0.25">
      <c r="B313" s="18"/>
      <c r="C313" s="19"/>
      <c r="H313" s="28"/>
    </row>
    <row r="314" spans="1:21" ht="12.5" x14ac:dyDescent="0.25">
      <c r="B314" s="18"/>
      <c r="C314" s="19"/>
      <c r="H314" s="28"/>
    </row>
    <row r="315" spans="1:21" ht="12.5" x14ac:dyDescent="0.25">
      <c r="B315" s="18"/>
      <c r="C315" s="19"/>
      <c r="H315" s="28"/>
    </row>
    <row r="316" spans="1:21" ht="12.5" x14ac:dyDescent="0.25">
      <c r="B316" s="18"/>
      <c r="C316" s="19"/>
      <c r="H316" s="28"/>
    </row>
    <row r="317" spans="1:21" ht="12.5" x14ac:dyDescent="0.25">
      <c r="B317" s="18"/>
      <c r="C317" s="19"/>
      <c r="H317" s="28"/>
    </row>
    <row r="318" spans="1:21" ht="12.5" x14ac:dyDescent="0.25">
      <c r="B318" s="18"/>
      <c r="C318" s="19"/>
      <c r="H318" s="28"/>
    </row>
    <row r="319" spans="1:21" ht="12.5" x14ac:dyDescent="0.25">
      <c r="B319" s="18"/>
      <c r="C319" s="19"/>
      <c r="H319" s="28"/>
    </row>
    <row r="320" spans="1:21" ht="12.5" x14ac:dyDescent="0.25">
      <c r="B320" s="18"/>
      <c r="C320" s="19"/>
      <c r="H320" s="28"/>
    </row>
    <row r="321" spans="2:8" ht="12.5" x14ac:dyDescent="0.25">
      <c r="B321" s="18"/>
      <c r="C321" s="19"/>
      <c r="H321" s="28"/>
    </row>
    <row r="322" spans="2:8" ht="12.5" x14ac:dyDescent="0.25">
      <c r="B322" s="18"/>
      <c r="C322" s="19"/>
      <c r="H322" s="28"/>
    </row>
    <row r="323" spans="2:8" ht="12.5" x14ac:dyDescent="0.25">
      <c r="B323" s="18"/>
      <c r="C323" s="19"/>
      <c r="H323" s="28"/>
    </row>
    <row r="324" spans="2:8" ht="12.5" x14ac:dyDescent="0.25">
      <c r="B324" s="18"/>
      <c r="C324" s="19"/>
      <c r="H324" s="28"/>
    </row>
    <row r="325" spans="2:8" ht="12.5" x14ac:dyDescent="0.25">
      <c r="B325" s="18"/>
      <c r="C325" s="19"/>
      <c r="H325" s="28"/>
    </row>
    <row r="326" spans="2:8" ht="12.5" x14ac:dyDescent="0.25">
      <c r="B326" s="18"/>
      <c r="C326" s="19"/>
      <c r="H326" s="28"/>
    </row>
    <row r="327" spans="2:8" ht="12.5" x14ac:dyDescent="0.25">
      <c r="B327" s="18"/>
      <c r="C327" s="19"/>
      <c r="H327" s="28"/>
    </row>
    <row r="328" spans="2:8" ht="12.5" x14ac:dyDescent="0.25">
      <c r="B328" s="18"/>
      <c r="C328" s="19"/>
      <c r="G328" s="26"/>
      <c r="H328" s="28"/>
    </row>
    <row r="329" spans="2:8" ht="12.5" x14ac:dyDescent="0.25">
      <c r="B329" s="18"/>
      <c r="C329" s="19"/>
      <c r="H329" s="28"/>
    </row>
    <row r="330" spans="2:8" ht="12.5" x14ac:dyDescent="0.25">
      <c r="B330" s="18"/>
      <c r="C330" s="19"/>
      <c r="H330" s="28"/>
    </row>
    <row r="331" spans="2:8" ht="12.5" x14ac:dyDescent="0.25">
      <c r="B331" s="18"/>
      <c r="C331" s="19"/>
      <c r="H331" s="28"/>
    </row>
    <row r="332" spans="2:8" ht="12.5" x14ac:dyDescent="0.25">
      <c r="B332" s="18"/>
      <c r="C332" s="19"/>
      <c r="H332" s="28"/>
    </row>
    <row r="333" spans="2:8" ht="12.5" x14ac:dyDescent="0.25">
      <c r="B333" s="18"/>
      <c r="C333" s="19"/>
      <c r="H333" s="28"/>
    </row>
    <row r="334" spans="2:8" ht="12.5" x14ac:dyDescent="0.25">
      <c r="B334" s="18"/>
      <c r="C334" s="19"/>
      <c r="H334" s="28"/>
    </row>
    <row r="335" spans="2:8" ht="12.5" x14ac:dyDescent="0.25">
      <c r="B335" s="18"/>
      <c r="C335" s="19"/>
      <c r="H335" s="28"/>
    </row>
    <row r="336" spans="2:8" ht="12.5" x14ac:dyDescent="0.25">
      <c r="B336" s="18"/>
      <c r="C336" s="19"/>
      <c r="H336" s="28"/>
    </row>
    <row r="337" spans="2:8" ht="12.5" x14ac:dyDescent="0.25">
      <c r="B337" s="18"/>
      <c r="C337" s="19"/>
      <c r="H337" s="28"/>
    </row>
    <row r="338" spans="2:8" ht="12.5" x14ac:dyDescent="0.25">
      <c r="B338" s="18"/>
      <c r="C338" s="19"/>
      <c r="H338" s="28"/>
    </row>
    <row r="339" spans="2:8" ht="12.5" x14ac:dyDescent="0.25">
      <c r="B339" s="18"/>
      <c r="C339" s="19"/>
      <c r="H339" s="28"/>
    </row>
    <row r="340" spans="2:8" ht="12.5" x14ac:dyDescent="0.25">
      <c r="B340" s="18"/>
      <c r="C340" s="19"/>
      <c r="H340" s="28"/>
    </row>
    <row r="341" spans="2:8" ht="12.5" x14ac:dyDescent="0.25">
      <c r="B341" s="18"/>
      <c r="C341" s="19"/>
      <c r="H341" s="28"/>
    </row>
    <row r="342" spans="2:8" ht="12.5" x14ac:dyDescent="0.25">
      <c r="B342" s="18"/>
      <c r="C342" s="19"/>
      <c r="H342" s="28"/>
    </row>
    <row r="343" spans="2:8" ht="12.5" x14ac:dyDescent="0.25">
      <c r="B343" s="18"/>
      <c r="C343" s="19"/>
      <c r="H343" s="28"/>
    </row>
    <row r="344" spans="2:8" ht="12.5" x14ac:dyDescent="0.25">
      <c r="B344" s="18"/>
      <c r="C344" s="19"/>
      <c r="H344" s="28"/>
    </row>
    <row r="345" spans="2:8" ht="12.5" x14ac:dyDescent="0.25">
      <c r="B345" s="18"/>
      <c r="C345" s="19"/>
      <c r="H345" s="28"/>
    </row>
    <row r="346" spans="2:8" ht="12.5" x14ac:dyDescent="0.25">
      <c r="B346" s="18"/>
      <c r="C346" s="19"/>
      <c r="H346" s="28"/>
    </row>
    <row r="347" spans="2:8" ht="12.5" x14ac:dyDescent="0.25">
      <c r="B347" s="18"/>
      <c r="C347" s="19"/>
      <c r="H347" s="28"/>
    </row>
    <row r="348" spans="2:8" ht="12.5" x14ac:dyDescent="0.25">
      <c r="B348" s="18"/>
      <c r="C348" s="19"/>
      <c r="H348" s="28"/>
    </row>
    <row r="349" spans="2:8" ht="12.5" x14ac:dyDescent="0.25">
      <c r="B349" s="18"/>
      <c r="C349" s="19"/>
      <c r="H349" s="28"/>
    </row>
    <row r="350" spans="2:8" ht="12.5" x14ac:dyDescent="0.25">
      <c r="B350" s="18"/>
      <c r="C350" s="19"/>
      <c r="H350" s="28"/>
    </row>
    <row r="351" spans="2:8" ht="12.5" x14ac:dyDescent="0.25">
      <c r="B351" s="18"/>
      <c r="C351" s="19"/>
      <c r="H351" s="28"/>
    </row>
    <row r="352" spans="2:8" ht="12.5" x14ac:dyDescent="0.25">
      <c r="B352" s="18"/>
      <c r="C352" s="19"/>
      <c r="H352" s="28"/>
    </row>
    <row r="353" spans="2:8" ht="12.5" x14ac:dyDescent="0.25">
      <c r="B353" s="18"/>
      <c r="C353" s="19"/>
      <c r="H353" s="28"/>
    </row>
    <row r="354" spans="2:8" ht="12.5" x14ac:dyDescent="0.25">
      <c r="B354" s="18"/>
      <c r="C354" s="19"/>
      <c r="H354" s="28"/>
    </row>
    <row r="355" spans="2:8" ht="12.5" x14ac:dyDescent="0.25">
      <c r="B355" s="18"/>
      <c r="C355" s="19"/>
      <c r="H355" s="28"/>
    </row>
    <row r="356" spans="2:8" ht="12.5" x14ac:dyDescent="0.25">
      <c r="B356" s="18"/>
      <c r="C356" s="19"/>
      <c r="H356" s="28"/>
    </row>
    <row r="357" spans="2:8" ht="12.5" x14ac:dyDescent="0.25">
      <c r="B357" s="18"/>
      <c r="C357" s="19"/>
      <c r="H357" s="28"/>
    </row>
    <row r="358" spans="2:8" ht="12.5" x14ac:dyDescent="0.25">
      <c r="B358" s="18"/>
      <c r="C358" s="19"/>
      <c r="H358" s="28"/>
    </row>
    <row r="359" spans="2:8" ht="12.5" x14ac:dyDescent="0.25">
      <c r="B359" s="18"/>
      <c r="C359" s="19"/>
      <c r="H359" s="28"/>
    </row>
    <row r="360" spans="2:8" ht="12.5" x14ac:dyDescent="0.25">
      <c r="B360" s="18"/>
      <c r="C360" s="19"/>
      <c r="H360" s="28"/>
    </row>
    <row r="361" spans="2:8" ht="12.5" x14ac:dyDescent="0.25">
      <c r="B361" s="18"/>
      <c r="C361" s="19"/>
      <c r="H361" s="28"/>
    </row>
    <row r="362" spans="2:8" ht="12.5" x14ac:dyDescent="0.25">
      <c r="B362" s="18"/>
      <c r="C362" s="19"/>
      <c r="H362" s="28"/>
    </row>
    <row r="363" spans="2:8" ht="12.5" x14ac:dyDescent="0.25">
      <c r="B363" s="18"/>
      <c r="C363" s="19"/>
      <c r="H363" s="28"/>
    </row>
    <row r="364" spans="2:8" ht="12.5" x14ac:dyDescent="0.25">
      <c r="B364" s="18"/>
      <c r="C364" s="19"/>
      <c r="H364" s="28"/>
    </row>
    <row r="365" spans="2:8" ht="12.5" x14ac:dyDescent="0.25">
      <c r="B365" s="18"/>
      <c r="C365" s="19"/>
      <c r="H365" s="28"/>
    </row>
    <row r="366" spans="2:8" ht="12.5" x14ac:dyDescent="0.25">
      <c r="B366" s="18"/>
      <c r="C366" s="19"/>
      <c r="H366" s="28"/>
    </row>
    <row r="367" spans="2:8" ht="12.5" x14ac:dyDescent="0.25">
      <c r="B367" s="18"/>
      <c r="C367" s="19"/>
      <c r="H367" s="28"/>
    </row>
    <row r="368" spans="2:8" ht="12.5" x14ac:dyDescent="0.25">
      <c r="B368" s="18"/>
      <c r="C368" s="19"/>
      <c r="H368" s="28"/>
    </row>
    <row r="369" spans="2:8" ht="12.5" x14ac:dyDescent="0.25">
      <c r="B369" s="18"/>
      <c r="C369" s="19"/>
      <c r="H369" s="28"/>
    </row>
    <row r="370" spans="2:8" ht="12.5" x14ac:dyDescent="0.25">
      <c r="B370" s="18"/>
      <c r="C370" s="19"/>
      <c r="H370" s="28"/>
    </row>
    <row r="371" spans="2:8" ht="12.5" x14ac:dyDescent="0.25">
      <c r="B371" s="18"/>
      <c r="C371" s="19"/>
      <c r="H371" s="28"/>
    </row>
    <row r="372" spans="2:8" ht="12.5" x14ac:dyDescent="0.25">
      <c r="B372" s="18"/>
      <c r="C372" s="19"/>
      <c r="H372" s="28"/>
    </row>
    <row r="373" spans="2:8" ht="12.5" x14ac:dyDescent="0.25">
      <c r="B373" s="18"/>
      <c r="C373" s="19"/>
      <c r="H373" s="28"/>
    </row>
    <row r="374" spans="2:8" ht="12.5" x14ac:dyDescent="0.25">
      <c r="B374" s="18"/>
      <c r="C374" s="19"/>
      <c r="H374" s="28"/>
    </row>
    <row r="375" spans="2:8" ht="12.5" x14ac:dyDescent="0.25">
      <c r="B375" s="18"/>
      <c r="C375" s="19"/>
      <c r="H375" s="28"/>
    </row>
    <row r="376" spans="2:8" ht="12.5" x14ac:dyDescent="0.25">
      <c r="B376" s="18"/>
      <c r="C376" s="19"/>
      <c r="H376" s="28"/>
    </row>
    <row r="377" spans="2:8" ht="12.5" x14ac:dyDescent="0.25">
      <c r="B377" s="18"/>
      <c r="C377" s="19"/>
      <c r="H377" s="28"/>
    </row>
    <row r="378" spans="2:8" ht="12.5" x14ac:dyDescent="0.25">
      <c r="B378" s="18"/>
      <c r="C378" s="19"/>
      <c r="H378" s="28"/>
    </row>
    <row r="379" spans="2:8" ht="12.5" x14ac:dyDescent="0.25">
      <c r="B379" s="18"/>
      <c r="C379" s="19"/>
      <c r="H379" s="28"/>
    </row>
    <row r="380" spans="2:8" ht="12.5" x14ac:dyDescent="0.25">
      <c r="B380" s="18"/>
      <c r="C380" s="19"/>
      <c r="H380" s="28"/>
    </row>
    <row r="381" spans="2:8" ht="12.5" x14ac:dyDescent="0.25">
      <c r="B381" s="18"/>
      <c r="C381" s="19"/>
      <c r="H381" s="28"/>
    </row>
    <row r="382" spans="2:8" ht="12.5" x14ac:dyDescent="0.25">
      <c r="B382" s="18"/>
      <c r="C382" s="19"/>
      <c r="H382" s="28"/>
    </row>
    <row r="383" spans="2:8" ht="12.5" x14ac:dyDescent="0.25">
      <c r="B383" s="18"/>
      <c r="C383" s="19"/>
      <c r="H383" s="28"/>
    </row>
    <row r="384" spans="2:8" ht="12.5" x14ac:dyDescent="0.25">
      <c r="B384" s="18"/>
      <c r="C384" s="19"/>
      <c r="H384" s="28"/>
    </row>
    <row r="385" spans="2:8" ht="12.5" x14ac:dyDescent="0.25">
      <c r="B385" s="18"/>
      <c r="C385" s="19"/>
      <c r="H385" s="28"/>
    </row>
    <row r="386" spans="2:8" ht="12.5" x14ac:dyDescent="0.25">
      <c r="B386" s="18"/>
      <c r="C386" s="19"/>
      <c r="H386" s="28"/>
    </row>
    <row r="387" spans="2:8" ht="12.5" x14ac:dyDescent="0.25">
      <c r="B387" s="18"/>
      <c r="C387" s="19"/>
      <c r="H387" s="28"/>
    </row>
    <row r="388" spans="2:8" ht="12.5" x14ac:dyDescent="0.25">
      <c r="B388" s="18"/>
      <c r="C388" s="19"/>
      <c r="H388" s="28"/>
    </row>
    <row r="389" spans="2:8" ht="12.5" x14ac:dyDescent="0.25">
      <c r="B389" s="18"/>
      <c r="C389" s="19"/>
      <c r="H389" s="28"/>
    </row>
    <row r="390" spans="2:8" ht="12.5" x14ac:dyDescent="0.25">
      <c r="B390" s="18"/>
      <c r="C390" s="19"/>
      <c r="H390" s="28"/>
    </row>
    <row r="391" spans="2:8" ht="12.5" x14ac:dyDescent="0.25">
      <c r="B391" s="18"/>
      <c r="C391" s="19"/>
      <c r="H391" s="28"/>
    </row>
    <row r="392" spans="2:8" ht="12.5" x14ac:dyDescent="0.25">
      <c r="B392" s="18"/>
      <c r="C392" s="19"/>
      <c r="H392" s="28"/>
    </row>
    <row r="393" spans="2:8" ht="12.5" x14ac:dyDescent="0.25">
      <c r="B393" s="18"/>
      <c r="C393" s="19"/>
      <c r="H393" s="28"/>
    </row>
    <row r="394" spans="2:8" ht="12.5" x14ac:dyDescent="0.25">
      <c r="B394" s="18"/>
      <c r="C394" s="19"/>
      <c r="H394" s="28"/>
    </row>
    <row r="395" spans="2:8" ht="12.5" x14ac:dyDescent="0.25">
      <c r="B395" s="18"/>
      <c r="C395" s="19"/>
      <c r="H395" s="28"/>
    </row>
    <row r="396" spans="2:8" ht="12.5" x14ac:dyDescent="0.25">
      <c r="B396" s="18"/>
      <c r="C396" s="19"/>
      <c r="H396" s="28"/>
    </row>
    <row r="397" spans="2:8" ht="12.5" x14ac:dyDescent="0.25">
      <c r="B397" s="18"/>
      <c r="C397" s="19"/>
      <c r="H397" s="28"/>
    </row>
    <row r="398" spans="2:8" ht="12.5" x14ac:dyDescent="0.25">
      <c r="B398" s="18"/>
      <c r="C398" s="19"/>
      <c r="H398" s="28"/>
    </row>
    <row r="399" spans="2:8" ht="12.5" x14ac:dyDescent="0.25">
      <c r="B399" s="18"/>
      <c r="C399" s="19"/>
      <c r="H399" s="28"/>
    </row>
    <row r="400" spans="2:8" ht="12.5" x14ac:dyDescent="0.25">
      <c r="B400" s="18"/>
      <c r="C400" s="19"/>
      <c r="H400" s="28"/>
    </row>
    <row r="401" spans="2:8" ht="12.5" x14ac:dyDescent="0.25">
      <c r="B401" s="18"/>
      <c r="C401" s="19"/>
      <c r="H401" s="28"/>
    </row>
    <row r="402" spans="2:8" ht="12.5" x14ac:dyDescent="0.25">
      <c r="B402" s="18"/>
      <c r="C402" s="19"/>
      <c r="H402" s="28"/>
    </row>
    <row r="403" spans="2:8" ht="12.5" x14ac:dyDescent="0.25">
      <c r="B403" s="18"/>
      <c r="C403" s="19"/>
      <c r="H403" s="28"/>
    </row>
    <row r="404" spans="2:8" ht="12.5" x14ac:dyDescent="0.25">
      <c r="B404" s="18"/>
      <c r="C404" s="19"/>
      <c r="H404" s="28"/>
    </row>
    <row r="405" spans="2:8" ht="12.5" x14ac:dyDescent="0.25">
      <c r="B405" s="18"/>
      <c r="C405" s="19"/>
      <c r="H405" s="28"/>
    </row>
    <row r="406" spans="2:8" ht="12.5" x14ac:dyDescent="0.25">
      <c r="B406" s="18"/>
      <c r="C406" s="19"/>
      <c r="H406" s="28"/>
    </row>
    <row r="407" spans="2:8" ht="12.5" x14ac:dyDescent="0.25">
      <c r="B407" s="18"/>
      <c r="C407" s="19"/>
      <c r="H407" s="28"/>
    </row>
    <row r="408" spans="2:8" ht="12.5" x14ac:dyDescent="0.25">
      <c r="B408" s="18"/>
      <c r="C408" s="19"/>
      <c r="H408" s="28"/>
    </row>
    <row r="409" spans="2:8" ht="12.5" x14ac:dyDescent="0.25">
      <c r="B409" s="18"/>
      <c r="C409" s="19"/>
      <c r="H409" s="28"/>
    </row>
    <row r="410" spans="2:8" ht="12.5" x14ac:dyDescent="0.25">
      <c r="B410" s="18"/>
      <c r="C410" s="19"/>
      <c r="H410" s="28"/>
    </row>
    <row r="411" spans="2:8" ht="12.5" x14ac:dyDescent="0.25">
      <c r="B411" s="18"/>
      <c r="C411" s="19"/>
      <c r="H411" s="28"/>
    </row>
    <row r="412" spans="2:8" ht="12.5" x14ac:dyDescent="0.25">
      <c r="B412" s="18"/>
      <c r="C412" s="19"/>
      <c r="H412" s="28"/>
    </row>
    <row r="413" spans="2:8" ht="12.5" x14ac:dyDescent="0.25">
      <c r="B413" s="18"/>
      <c r="C413" s="19"/>
      <c r="H413" s="28"/>
    </row>
    <row r="414" spans="2:8" ht="12.5" x14ac:dyDescent="0.25">
      <c r="B414" s="18"/>
      <c r="C414" s="19"/>
      <c r="H414" s="28"/>
    </row>
    <row r="415" spans="2:8" ht="12.5" x14ac:dyDescent="0.25">
      <c r="B415" s="18"/>
      <c r="C415" s="19"/>
      <c r="H415" s="28"/>
    </row>
    <row r="416" spans="2:8" ht="12.5" x14ac:dyDescent="0.25">
      <c r="B416" s="18"/>
      <c r="C416" s="19"/>
      <c r="H416" s="28"/>
    </row>
    <row r="417" spans="1:8" ht="12.5" x14ac:dyDescent="0.25">
      <c r="B417" s="18"/>
      <c r="C417" s="19"/>
      <c r="H417" s="28"/>
    </row>
    <row r="418" spans="1:8" ht="12.5" x14ac:dyDescent="0.25">
      <c r="A418" s="29"/>
      <c r="H418" s="30"/>
    </row>
    <row r="419" spans="1:8" ht="12.5" x14ac:dyDescent="0.25">
      <c r="A419" s="29"/>
      <c r="H419" s="30"/>
    </row>
    <row r="420" spans="1:8" ht="12.5" x14ac:dyDescent="0.25">
      <c r="A420" s="29"/>
      <c r="H420" s="30"/>
    </row>
    <row r="421" spans="1:8" ht="12.5" x14ac:dyDescent="0.25">
      <c r="A421" s="29"/>
      <c r="H421" s="30"/>
    </row>
    <row r="422" spans="1:8" ht="12.5" x14ac:dyDescent="0.25">
      <c r="A422" s="29"/>
      <c r="H422" s="30"/>
    </row>
    <row r="423" spans="1:8" ht="12.5" x14ac:dyDescent="0.25">
      <c r="A423" s="29"/>
      <c r="H423" s="30"/>
    </row>
    <row r="424" spans="1:8" ht="12.5" x14ac:dyDescent="0.25">
      <c r="A424" s="29"/>
      <c r="H424" s="30"/>
    </row>
    <row r="425" spans="1:8" ht="12.5" x14ac:dyDescent="0.25">
      <c r="A425" s="29"/>
      <c r="H425" s="30"/>
    </row>
    <row r="426" spans="1:8" ht="12.5" x14ac:dyDescent="0.25">
      <c r="A426" s="29"/>
      <c r="H426" s="30"/>
    </row>
    <row r="427" spans="1:8" ht="12.5" x14ac:dyDescent="0.25">
      <c r="A427" s="29"/>
      <c r="H427" s="30"/>
    </row>
    <row r="428" spans="1:8" ht="12.5" x14ac:dyDescent="0.25">
      <c r="A428" s="29"/>
      <c r="H428" s="30"/>
    </row>
    <row r="429" spans="1:8" ht="12.5" x14ac:dyDescent="0.25">
      <c r="A429" s="29"/>
      <c r="H429" s="30"/>
    </row>
    <row r="430" spans="1:8" ht="12.5" x14ac:dyDescent="0.25">
      <c r="A430" s="29"/>
      <c r="H430" s="30"/>
    </row>
    <row r="431" spans="1:8" ht="12.5" x14ac:dyDescent="0.25">
      <c r="A431" s="29"/>
      <c r="H431" s="30"/>
    </row>
    <row r="432" spans="1:8" ht="12.5" x14ac:dyDescent="0.25">
      <c r="A432" s="29"/>
      <c r="H432" s="30"/>
    </row>
    <row r="433" spans="1:8" ht="12.5" x14ac:dyDescent="0.25">
      <c r="A433" s="29"/>
      <c r="H433" s="30"/>
    </row>
    <row r="434" spans="1:8" ht="12.5" x14ac:dyDescent="0.25">
      <c r="A434" s="29"/>
      <c r="H434" s="30"/>
    </row>
    <row r="435" spans="1:8" ht="12.5" x14ac:dyDescent="0.25">
      <c r="A435" s="29"/>
      <c r="H435" s="30"/>
    </row>
    <row r="436" spans="1:8" ht="12.5" x14ac:dyDescent="0.25">
      <c r="A436" s="29"/>
      <c r="H436" s="30"/>
    </row>
    <row r="437" spans="1:8" ht="12.5" x14ac:dyDescent="0.25">
      <c r="A437" s="29"/>
      <c r="H437" s="30"/>
    </row>
    <row r="438" spans="1:8" ht="12.5" x14ac:dyDescent="0.25">
      <c r="A438" s="29"/>
      <c r="H438" s="30"/>
    </row>
    <row r="439" spans="1:8" ht="12.5" x14ac:dyDescent="0.25">
      <c r="A439" s="29"/>
      <c r="H439" s="30"/>
    </row>
    <row r="440" spans="1:8" ht="12.5" x14ac:dyDescent="0.25">
      <c r="A440" s="29"/>
      <c r="H440" s="30"/>
    </row>
    <row r="441" spans="1:8" ht="12.5" x14ac:dyDescent="0.25">
      <c r="A441" s="29"/>
      <c r="H441" s="30"/>
    </row>
    <row r="442" spans="1:8" ht="12.5" x14ac:dyDescent="0.25">
      <c r="A442" s="29"/>
      <c r="H442" s="30"/>
    </row>
    <row r="443" spans="1:8" ht="12.5" x14ac:dyDescent="0.25">
      <c r="A443" s="29"/>
      <c r="H443" s="30"/>
    </row>
    <row r="444" spans="1:8" ht="12.5" x14ac:dyDescent="0.25">
      <c r="A444" s="29"/>
      <c r="H444" s="30"/>
    </row>
    <row r="445" spans="1:8" ht="12.5" x14ac:dyDescent="0.25">
      <c r="A445" s="29"/>
      <c r="H445" s="30"/>
    </row>
    <row r="446" spans="1:8" ht="12.5" x14ac:dyDescent="0.25">
      <c r="A446" s="29"/>
      <c r="H446" s="30"/>
    </row>
    <row r="447" spans="1:8" ht="12.5" x14ac:dyDescent="0.25">
      <c r="A447" s="29"/>
      <c r="H447" s="30"/>
    </row>
    <row r="448" spans="1:8" ht="12.5" x14ac:dyDescent="0.25">
      <c r="A448" s="29"/>
      <c r="H448" s="30"/>
    </row>
    <row r="449" spans="1:8" ht="12.5" x14ac:dyDescent="0.25">
      <c r="A449" s="29"/>
      <c r="H449" s="30"/>
    </row>
    <row r="450" spans="1:8" ht="12.5" x14ac:dyDescent="0.25">
      <c r="A450" s="29"/>
      <c r="H450" s="30"/>
    </row>
    <row r="451" spans="1:8" ht="12.5" x14ac:dyDescent="0.25">
      <c r="A451" s="29"/>
      <c r="H451" s="30"/>
    </row>
    <row r="452" spans="1:8" ht="12.5" x14ac:dyDescent="0.25">
      <c r="A452" s="29"/>
      <c r="H452" s="30"/>
    </row>
    <row r="453" spans="1:8" ht="12.5" x14ac:dyDescent="0.25">
      <c r="A453" s="29"/>
      <c r="H453" s="30"/>
    </row>
    <row r="454" spans="1:8" ht="12.5" x14ac:dyDescent="0.25">
      <c r="A454" s="29"/>
      <c r="H454" s="30"/>
    </row>
    <row r="455" spans="1:8" ht="12.5" x14ac:dyDescent="0.25">
      <c r="A455" s="29"/>
      <c r="H455" s="30"/>
    </row>
    <row r="456" spans="1:8" ht="12.5" x14ac:dyDescent="0.25">
      <c r="A456" s="29"/>
      <c r="H456" s="30"/>
    </row>
    <row r="457" spans="1:8" ht="12.5" x14ac:dyDescent="0.25">
      <c r="A457" s="29"/>
      <c r="H457" s="30"/>
    </row>
    <row r="458" spans="1:8" ht="12.5" x14ac:dyDescent="0.25">
      <c r="A458" s="29"/>
      <c r="H458" s="30"/>
    </row>
    <row r="459" spans="1:8" ht="12.5" x14ac:dyDescent="0.25">
      <c r="A459" s="29"/>
      <c r="H459" s="30"/>
    </row>
    <row r="460" spans="1:8" ht="12.5" x14ac:dyDescent="0.25">
      <c r="A460" s="29"/>
      <c r="H460" s="30"/>
    </row>
    <row r="461" spans="1:8" ht="12.5" x14ac:dyDescent="0.25">
      <c r="A461" s="29"/>
      <c r="H461" s="30"/>
    </row>
    <row r="462" spans="1:8" ht="12.5" x14ac:dyDescent="0.25">
      <c r="A462" s="29"/>
      <c r="H462" s="30"/>
    </row>
    <row r="463" spans="1:8" ht="12.5" x14ac:dyDescent="0.25">
      <c r="A463" s="29"/>
      <c r="H463" s="30"/>
    </row>
    <row r="464" spans="1:8" ht="12.5" x14ac:dyDescent="0.25">
      <c r="A464" s="29"/>
      <c r="H464" s="30"/>
    </row>
    <row r="465" spans="1:8" ht="12.5" x14ac:dyDescent="0.25">
      <c r="A465" s="29"/>
      <c r="H465" s="30"/>
    </row>
    <row r="466" spans="1:8" ht="12.5" x14ac:dyDescent="0.25">
      <c r="A466" s="29"/>
      <c r="H466" s="30"/>
    </row>
    <row r="467" spans="1:8" ht="12.5" x14ac:dyDescent="0.25">
      <c r="A467" s="29"/>
      <c r="H467" s="30"/>
    </row>
    <row r="468" spans="1:8" ht="12.5" x14ac:dyDescent="0.25">
      <c r="A468" s="29"/>
      <c r="H468" s="30"/>
    </row>
    <row r="469" spans="1:8" ht="12.5" x14ac:dyDescent="0.25">
      <c r="A469" s="29"/>
      <c r="H469" s="30"/>
    </row>
    <row r="470" spans="1:8" ht="12.5" x14ac:dyDescent="0.25">
      <c r="A470" s="29"/>
      <c r="H470" s="30"/>
    </row>
    <row r="471" spans="1:8" ht="12.5" x14ac:dyDescent="0.25">
      <c r="A471" s="29"/>
      <c r="H471" s="30"/>
    </row>
    <row r="472" spans="1:8" ht="12.5" x14ac:dyDescent="0.25">
      <c r="A472" s="29"/>
      <c r="H472" s="30"/>
    </row>
    <row r="473" spans="1:8" ht="12.5" x14ac:dyDescent="0.25">
      <c r="A473" s="29"/>
      <c r="H473" s="30"/>
    </row>
    <row r="474" spans="1:8" ht="12.5" x14ac:dyDescent="0.25">
      <c r="A474" s="29"/>
      <c r="H474" s="30"/>
    </row>
    <row r="475" spans="1:8" ht="12.5" x14ac:dyDescent="0.25">
      <c r="A475" s="29"/>
      <c r="H475" s="30"/>
    </row>
    <row r="476" spans="1:8" ht="12.5" x14ac:dyDescent="0.25">
      <c r="A476" s="29"/>
      <c r="H476" s="30"/>
    </row>
    <row r="477" spans="1:8" ht="12.5" x14ac:dyDescent="0.25">
      <c r="A477" s="29"/>
      <c r="H477" s="30"/>
    </row>
    <row r="478" spans="1:8" ht="12.5" x14ac:dyDescent="0.25">
      <c r="A478" s="29"/>
      <c r="H478" s="30"/>
    </row>
    <row r="479" spans="1:8" ht="12.5" x14ac:dyDescent="0.25">
      <c r="A479" s="29"/>
      <c r="H479" s="30"/>
    </row>
    <row r="480" spans="1:8" ht="12.5" x14ac:dyDescent="0.25">
      <c r="A480" s="29"/>
      <c r="H480" s="30"/>
    </row>
    <row r="481" spans="1:8" ht="12.5" x14ac:dyDescent="0.25">
      <c r="A481" s="29"/>
      <c r="H481" s="30"/>
    </row>
    <row r="482" spans="1:8" ht="12.5" x14ac:dyDescent="0.25">
      <c r="A482" s="29"/>
      <c r="H482" s="30"/>
    </row>
    <row r="483" spans="1:8" ht="12.5" x14ac:dyDescent="0.25">
      <c r="A483" s="29"/>
      <c r="H483" s="30"/>
    </row>
    <row r="484" spans="1:8" ht="12.5" x14ac:dyDescent="0.25">
      <c r="A484" s="29"/>
      <c r="H484" s="30"/>
    </row>
    <row r="485" spans="1:8" ht="12.5" x14ac:dyDescent="0.25">
      <c r="A485" s="29"/>
      <c r="H485" s="30"/>
    </row>
    <row r="486" spans="1:8" ht="12.5" x14ac:dyDescent="0.25">
      <c r="A486" s="29"/>
      <c r="H486" s="30"/>
    </row>
    <row r="487" spans="1:8" ht="12.5" x14ac:dyDescent="0.25">
      <c r="A487" s="29"/>
      <c r="H487" s="30"/>
    </row>
    <row r="488" spans="1:8" ht="12.5" x14ac:dyDescent="0.25">
      <c r="A488" s="29"/>
      <c r="H488" s="30"/>
    </row>
    <row r="489" spans="1:8" ht="12.5" x14ac:dyDescent="0.25">
      <c r="A489" s="29"/>
      <c r="H489" s="30"/>
    </row>
    <row r="490" spans="1:8" ht="12.5" x14ac:dyDescent="0.25">
      <c r="A490" s="29"/>
      <c r="H490" s="30"/>
    </row>
    <row r="491" spans="1:8" ht="12.5" x14ac:dyDescent="0.25">
      <c r="A491" s="29"/>
      <c r="H491" s="30"/>
    </row>
    <row r="492" spans="1:8" ht="12.5" x14ac:dyDescent="0.25">
      <c r="A492" s="29"/>
      <c r="H492" s="30"/>
    </row>
    <row r="493" spans="1:8" ht="12.5" x14ac:dyDescent="0.25">
      <c r="A493" s="29"/>
      <c r="H493" s="30"/>
    </row>
    <row r="494" spans="1:8" ht="12.5" x14ac:dyDescent="0.25">
      <c r="A494" s="29"/>
      <c r="H494" s="30"/>
    </row>
    <row r="495" spans="1:8" ht="12.5" x14ac:dyDescent="0.25">
      <c r="A495" s="29"/>
      <c r="H495" s="30"/>
    </row>
    <row r="496" spans="1:8" ht="12.5" x14ac:dyDescent="0.25">
      <c r="A496" s="29"/>
      <c r="H496" s="30"/>
    </row>
    <row r="497" spans="1:8" ht="12.5" x14ac:dyDescent="0.25">
      <c r="A497" s="29"/>
      <c r="H497" s="30"/>
    </row>
    <row r="498" spans="1:8" ht="12.5" x14ac:dyDescent="0.25">
      <c r="A498" s="29"/>
      <c r="H498" s="30"/>
    </row>
    <row r="499" spans="1:8" ht="12.5" x14ac:dyDescent="0.25">
      <c r="A499" s="29"/>
      <c r="H499" s="30"/>
    </row>
    <row r="500" spans="1:8" ht="12.5" x14ac:dyDescent="0.25">
      <c r="A500" s="29"/>
      <c r="H500" s="30"/>
    </row>
    <row r="501" spans="1:8" ht="12.5" x14ac:dyDescent="0.25">
      <c r="A501" s="29"/>
      <c r="H501" s="30"/>
    </row>
    <row r="502" spans="1:8" ht="12.5" x14ac:dyDescent="0.25">
      <c r="A502" s="29"/>
      <c r="H502" s="30"/>
    </row>
    <row r="503" spans="1:8" ht="12.5" x14ac:dyDescent="0.25">
      <c r="A503" s="29"/>
      <c r="H503" s="30"/>
    </row>
    <row r="504" spans="1:8" ht="12.5" x14ac:dyDescent="0.25">
      <c r="A504" s="29"/>
      <c r="H504" s="30"/>
    </row>
    <row r="505" spans="1:8" ht="12.5" x14ac:dyDescent="0.25">
      <c r="A505" s="29"/>
      <c r="H505" s="30"/>
    </row>
    <row r="506" spans="1:8" ht="12.5" x14ac:dyDescent="0.25">
      <c r="A506" s="29"/>
      <c r="H506" s="30"/>
    </row>
    <row r="507" spans="1:8" ht="12.5" x14ac:dyDescent="0.25">
      <c r="A507" s="29"/>
      <c r="H507" s="30"/>
    </row>
    <row r="508" spans="1:8" ht="12.5" x14ac:dyDescent="0.25">
      <c r="A508" s="29"/>
      <c r="H508" s="30"/>
    </row>
    <row r="509" spans="1:8" ht="12.5" x14ac:dyDescent="0.25">
      <c r="A509" s="29"/>
      <c r="H509" s="30"/>
    </row>
    <row r="510" spans="1:8" ht="12.5" x14ac:dyDescent="0.25">
      <c r="A510" s="29"/>
      <c r="H510" s="30"/>
    </row>
    <row r="511" spans="1:8" ht="12.5" x14ac:dyDescent="0.25">
      <c r="A511" s="29"/>
      <c r="H511" s="30"/>
    </row>
    <row r="512" spans="1:8" ht="12.5" x14ac:dyDescent="0.25">
      <c r="A512" s="29"/>
      <c r="H512" s="30"/>
    </row>
    <row r="513" spans="1:8" ht="12.5" x14ac:dyDescent="0.25">
      <c r="A513" s="29"/>
      <c r="H513" s="30"/>
    </row>
    <row r="514" spans="1:8" ht="12.5" x14ac:dyDescent="0.25">
      <c r="A514" s="29"/>
      <c r="H514" s="30"/>
    </row>
    <row r="515" spans="1:8" ht="12.5" x14ac:dyDescent="0.25">
      <c r="A515" s="29"/>
      <c r="H515" s="30"/>
    </row>
    <row r="516" spans="1:8" ht="12.5" x14ac:dyDescent="0.25">
      <c r="A516" s="29"/>
      <c r="H516" s="30"/>
    </row>
    <row r="517" spans="1:8" ht="12.5" x14ac:dyDescent="0.25">
      <c r="A517" s="29"/>
      <c r="H517" s="30"/>
    </row>
    <row r="518" spans="1:8" ht="12.5" x14ac:dyDescent="0.25">
      <c r="A518" s="29"/>
      <c r="H518" s="30"/>
    </row>
    <row r="519" spans="1:8" ht="12.5" x14ac:dyDescent="0.25">
      <c r="A519" s="29"/>
      <c r="H519" s="30"/>
    </row>
    <row r="520" spans="1:8" ht="12.5" x14ac:dyDescent="0.25">
      <c r="A520" s="29"/>
      <c r="H520" s="30"/>
    </row>
    <row r="521" spans="1:8" ht="12.5" x14ac:dyDescent="0.25">
      <c r="A521" s="29"/>
      <c r="H521" s="30"/>
    </row>
    <row r="522" spans="1:8" ht="12.5" x14ac:dyDescent="0.25">
      <c r="A522" s="29"/>
      <c r="H522" s="30"/>
    </row>
    <row r="523" spans="1:8" ht="12.5" x14ac:dyDescent="0.25">
      <c r="A523" s="29"/>
      <c r="H523" s="30"/>
    </row>
    <row r="524" spans="1:8" ht="12.5" x14ac:dyDescent="0.25">
      <c r="A524" s="29"/>
      <c r="H524" s="30"/>
    </row>
    <row r="525" spans="1:8" ht="12.5" x14ac:dyDescent="0.25">
      <c r="A525" s="29"/>
      <c r="H525" s="30"/>
    </row>
    <row r="526" spans="1:8" ht="12.5" x14ac:dyDescent="0.25">
      <c r="A526" s="29"/>
      <c r="H526" s="30"/>
    </row>
    <row r="527" spans="1:8" ht="12.5" x14ac:dyDescent="0.25">
      <c r="A527" s="29"/>
      <c r="H527" s="30"/>
    </row>
    <row r="528" spans="1:8" ht="12.5" x14ac:dyDescent="0.25">
      <c r="A528" s="29"/>
      <c r="H528" s="30"/>
    </row>
    <row r="529" spans="1:8" ht="12.5" x14ac:dyDescent="0.25">
      <c r="A529" s="29"/>
      <c r="H529" s="30"/>
    </row>
    <row r="530" spans="1:8" ht="12.5" x14ac:dyDescent="0.25">
      <c r="A530" s="29"/>
      <c r="H530" s="30"/>
    </row>
    <row r="531" spans="1:8" ht="12.5" x14ac:dyDescent="0.25">
      <c r="A531" s="29"/>
      <c r="H531" s="30"/>
    </row>
    <row r="532" spans="1:8" ht="12.5" x14ac:dyDescent="0.25">
      <c r="A532" s="29"/>
      <c r="H532" s="30"/>
    </row>
    <row r="533" spans="1:8" ht="12.5" x14ac:dyDescent="0.25">
      <c r="A533" s="29"/>
      <c r="H533" s="30"/>
    </row>
    <row r="534" spans="1:8" ht="12.5" x14ac:dyDescent="0.25">
      <c r="A534" s="29"/>
      <c r="H534" s="30"/>
    </row>
    <row r="535" spans="1:8" ht="12.5" x14ac:dyDescent="0.25">
      <c r="A535" s="29"/>
      <c r="H535" s="30"/>
    </row>
    <row r="536" spans="1:8" ht="12.5" x14ac:dyDescent="0.25">
      <c r="A536" s="29"/>
      <c r="H536" s="30"/>
    </row>
    <row r="537" spans="1:8" ht="12.5" x14ac:dyDescent="0.25">
      <c r="A537" s="29"/>
      <c r="H537" s="30"/>
    </row>
    <row r="538" spans="1:8" ht="12.5" x14ac:dyDescent="0.25">
      <c r="A538" s="29"/>
      <c r="H538" s="30"/>
    </row>
    <row r="539" spans="1:8" ht="12.5" x14ac:dyDescent="0.25">
      <c r="A539" s="29"/>
      <c r="H539" s="30"/>
    </row>
    <row r="540" spans="1:8" ht="12.5" x14ac:dyDescent="0.25">
      <c r="A540" s="29"/>
      <c r="H540" s="30"/>
    </row>
    <row r="541" spans="1:8" ht="12.5" x14ac:dyDescent="0.25">
      <c r="A541" s="29"/>
      <c r="H541" s="30"/>
    </row>
    <row r="542" spans="1:8" ht="12.5" x14ac:dyDescent="0.25">
      <c r="A542" s="29"/>
      <c r="H542" s="30"/>
    </row>
    <row r="543" spans="1:8" ht="12.5" x14ac:dyDescent="0.25">
      <c r="A543" s="29"/>
      <c r="H543" s="30"/>
    </row>
    <row r="544" spans="1:8" ht="12.5" x14ac:dyDescent="0.25">
      <c r="A544" s="29"/>
      <c r="H544" s="30"/>
    </row>
    <row r="545" spans="1:8" ht="12.5" x14ac:dyDescent="0.25">
      <c r="A545" s="29"/>
      <c r="H545" s="30"/>
    </row>
    <row r="546" spans="1:8" ht="12.5" x14ac:dyDescent="0.25">
      <c r="A546" s="29"/>
      <c r="H546" s="30"/>
    </row>
    <row r="547" spans="1:8" ht="12.5" x14ac:dyDescent="0.25">
      <c r="A547" s="29"/>
      <c r="H547" s="30"/>
    </row>
    <row r="548" spans="1:8" ht="12.5" x14ac:dyDescent="0.25">
      <c r="A548" s="29"/>
      <c r="H548" s="30"/>
    </row>
    <row r="549" spans="1:8" ht="12.5" x14ac:dyDescent="0.25">
      <c r="A549" s="29"/>
      <c r="H549" s="30"/>
    </row>
    <row r="550" spans="1:8" ht="12.5" x14ac:dyDescent="0.25">
      <c r="A550" s="29"/>
      <c r="H550" s="30"/>
    </row>
    <row r="551" spans="1:8" ht="12.5" x14ac:dyDescent="0.25">
      <c r="A551" s="29"/>
      <c r="H551" s="30"/>
    </row>
    <row r="552" spans="1:8" ht="12.5" x14ac:dyDescent="0.25">
      <c r="A552" s="29"/>
      <c r="H552" s="30"/>
    </row>
    <row r="553" spans="1:8" ht="12.5" x14ac:dyDescent="0.25">
      <c r="A553" s="29"/>
      <c r="H553" s="30"/>
    </row>
    <row r="554" spans="1:8" ht="12.5" x14ac:dyDescent="0.25">
      <c r="A554" s="29"/>
      <c r="H554" s="30"/>
    </row>
    <row r="555" spans="1:8" ht="12.5" x14ac:dyDescent="0.25">
      <c r="A555" s="29"/>
      <c r="H555" s="30"/>
    </row>
    <row r="556" spans="1:8" ht="12.5" x14ac:dyDescent="0.25">
      <c r="A556" s="29"/>
      <c r="H556" s="30"/>
    </row>
    <row r="557" spans="1:8" ht="12.5" x14ac:dyDescent="0.25">
      <c r="A557" s="29"/>
      <c r="H557" s="30"/>
    </row>
    <row r="558" spans="1:8" ht="12.5" x14ac:dyDescent="0.25">
      <c r="A558" s="29"/>
      <c r="H558" s="30"/>
    </row>
    <row r="559" spans="1:8" ht="12.5" x14ac:dyDescent="0.25">
      <c r="A559" s="29"/>
      <c r="H559" s="30"/>
    </row>
    <row r="560" spans="1:8" ht="12.5" x14ac:dyDescent="0.25">
      <c r="A560" s="29"/>
      <c r="H560" s="30"/>
    </row>
    <row r="561" spans="1:8" ht="12.5" x14ac:dyDescent="0.25">
      <c r="A561" s="29"/>
      <c r="H561" s="30"/>
    </row>
    <row r="562" spans="1:8" ht="12.5" x14ac:dyDescent="0.25">
      <c r="A562" s="29"/>
      <c r="H562" s="30"/>
    </row>
    <row r="563" spans="1:8" ht="12.5" x14ac:dyDescent="0.25">
      <c r="A563" s="29"/>
      <c r="H563" s="30"/>
    </row>
    <row r="564" spans="1:8" ht="12.5" x14ac:dyDescent="0.25">
      <c r="A564" s="29"/>
      <c r="H564" s="30"/>
    </row>
    <row r="565" spans="1:8" ht="12.5" x14ac:dyDescent="0.25">
      <c r="A565" s="29"/>
      <c r="H565" s="30"/>
    </row>
    <row r="566" spans="1:8" ht="12.5" x14ac:dyDescent="0.25">
      <c r="A566" s="29"/>
      <c r="H566" s="30"/>
    </row>
    <row r="567" spans="1:8" ht="12.5" x14ac:dyDescent="0.25">
      <c r="A567" s="29"/>
      <c r="H567" s="30"/>
    </row>
    <row r="568" spans="1:8" ht="12.5" x14ac:dyDescent="0.25">
      <c r="A568" s="29"/>
      <c r="H568" s="30"/>
    </row>
    <row r="569" spans="1:8" ht="12.5" x14ac:dyDescent="0.25">
      <c r="A569" s="29"/>
      <c r="H569" s="30"/>
    </row>
    <row r="570" spans="1:8" ht="12.5" x14ac:dyDescent="0.25">
      <c r="A570" s="29"/>
      <c r="H570" s="30"/>
    </row>
    <row r="571" spans="1:8" ht="12.5" x14ac:dyDescent="0.25">
      <c r="A571" s="29"/>
      <c r="H571" s="30"/>
    </row>
    <row r="572" spans="1:8" ht="12.5" x14ac:dyDescent="0.25">
      <c r="A572" s="29"/>
      <c r="H572" s="30"/>
    </row>
    <row r="573" spans="1:8" ht="12.5" x14ac:dyDescent="0.25">
      <c r="A573" s="29"/>
      <c r="H573" s="30"/>
    </row>
    <row r="574" spans="1:8" ht="12.5" x14ac:dyDescent="0.25">
      <c r="A574" s="29"/>
      <c r="H574" s="30"/>
    </row>
    <row r="575" spans="1:8" ht="12.5" x14ac:dyDescent="0.25">
      <c r="A575" s="29"/>
      <c r="H575" s="30"/>
    </row>
    <row r="576" spans="1:8" ht="12.5" x14ac:dyDescent="0.25">
      <c r="A576" s="29"/>
      <c r="H576" s="30"/>
    </row>
    <row r="577" spans="1:8" ht="12.5" x14ac:dyDescent="0.25">
      <c r="A577" s="29"/>
      <c r="H577" s="30"/>
    </row>
    <row r="578" spans="1:8" ht="12.5" x14ac:dyDescent="0.25">
      <c r="A578" s="29"/>
      <c r="H578" s="30"/>
    </row>
    <row r="579" spans="1:8" ht="12.5" x14ac:dyDescent="0.25">
      <c r="A579" s="29"/>
      <c r="H579" s="30"/>
    </row>
    <row r="580" spans="1:8" ht="12.5" x14ac:dyDescent="0.25">
      <c r="A580" s="29"/>
      <c r="H580" s="30"/>
    </row>
    <row r="581" spans="1:8" ht="12.5" x14ac:dyDescent="0.25">
      <c r="A581" s="29"/>
      <c r="H581" s="30"/>
    </row>
    <row r="582" spans="1:8" ht="12.5" x14ac:dyDescent="0.25">
      <c r="A582" s="29"/>
      <c r="H582" s="30"/>
    </row>
    <row r="583" spans="1:8" ht="12.5" x14ac:dyDescent="0.25">
      <c r="A583" s="29"/>
      <c r="H583" s="30"/>
    </row>
    <row r="584" spans="1:8" ht="12.5" x14ac:dyDescent="0.25">
      <c r="A584" s="29"/>
      <c r="H584" s="30"/>
    </row>
    <row r="585" spans="1:8" ht="12.5" x14ac:dyDescent="0.25">
      <c r="A585" s="29"/>
      <c r="H585" s="30"/>
    </row>
    <row r="586" spans="1:8" ht="12.5" x14ac:dyDescent="0.25">
      <c r="A586" s="29"/>
      <c r="H586" s="30"/>
    </row>
    <row r="587" spans="1:8" ht="12.5" x14ac:dyDescent="0.25">
      <c r="A587" s="29"/>
      <c r="H587" s="30"/>
    </row>
    <row r="588" spans="1:8" ht="12.5" x14ac:dyDescent="0.25">
      <c r="A588" s="29"/>
      <c r="H588" s="30"/>
    </row>
    <row r="589" spans="1:8" ht="12.5" x14ac:dyDescent="0.25">
      <c r="A589" s="29"/>
      <c r="H589" s="30"/>
    </row>
    <row r="590" spans="1:8" ht="12.5" x14ac:dyDescent="0.25">
      <c r="A590" s="29"/>
      <c r="H590" s="30"/>
    </row>
    <row r="591" spans="1:8" ht="12.5" x14ac:dyDescent="0.25">
      <c r="A591" s="29"/>
      <c r="H591" s="30"/>
    </row>
    <row r="592" spans="1:8" ht="12.5" x14ac:dyDescent="0.25">
      <c r="A592" s="29"/>
      <c r="H592" s="30"/>
    </row>
    <row r="593" spans="1:8" ht="12.5" x14ac:dyDescent="0.25">
      <c r="A593" s="29"/>
      <c r="H593" s="30"/>
    </row>
    <row r="594" spans="1:8" ht="12.5" x14ac:dyDescent="0.25">
      <c r="A594" s="29"/>
      <c r="H594" s="30"/>
    </row>
    <row r="595" spans="1:8" ht="12.5" x14ac:dyDescent="0.25">
      <c r="A595" s="29"/>
      <c r="H595" s="30"/>
    </row>
    <row r="596" spans="1:8" ht="12.5" x14ac:dyDescent="0.25">
      <c r="A596" s="29"/>
      <c r="H596" s="30"/>
    </row>
    <row r="597" spans="1:8" ht="12.5" x14ac:dyDescent="0.25">
      <c r="A597" s="29"/>
      <c r="H597" s="30"/>
    </row>
    <row r="598" spans="1:8" ht="12.5" x14ac:dyDescent="0.25">
      <c r="A598" s="29"/>
      <c r="H598" s="30"/>
    </row>
    <row r="599" spans="1:8" ht="12.5" x14ac:dyDescent="0.25">
      <c r="A599" s="29"/>
      <c r="H599" s="30"/>
    </row>
    <row r="600" spans="1:8" ht="12.5" x14ac:dyDescent="0.25">
      <c r="A600" s="29"/>
      <c r="H600" s="30"/>
    </row>
    <row r="601" spans="1:8" ht="12.5" x14ac:dyDescent="0.25">
      <c r="A601" s="29"/>
      <c r="H601" s="30"/>
    </row>
    <row r="602" spans="1:8" ht="12.5" x14ac:dyDescent="0.25">
      <c r="A602" s="29"/>
      <c r="H602" s="30"/>
    </row>
    <row r="603" spans="1:8" ht="12.5" x14ac:dyDescent="0.25">
      <c r="A603" s="29"/>
      <c r="H603" s="30"/>
    </row>
    <row r="604" spans="1:8" ht="12.5" x14ac:dyDescent="0.25">
      <c r="A604" s="29"/>
      <c r="H604" s="30"/>
    </row>
    <row r="605" spans="1:8" ht="12.5" x14ac:dyDescent="0.25">
      <c r="A605" s="29"/>
      <c r="H605" s="30"/>
    </row>
    <row r="606" spans="1:8" ht="12.5" x14ac:dyDescent="0.25">
      <c r="A606" s="29"/>
      <c r="H606" s="30"/>
    </row>
    <row r="607" spans="1:8" ht="12.5" x14ac:dyDescent="0.25">
      <c r="A607" s="29"/>
      <c r="H607" s="30"/>
    </row>
    <row r="608" spans="1:8" ht="12.5" x14ac:dyDescent="0.25">
      <c r="A608" s="29"/>
      <c r="H608" s="30"/>
    </row>
    <row r="609" spans="1:8" ht="12.5" x14ac:dyDescent="0.25">
      <c r="A609" s="29"/>
      <c r="H609" s="30"/>
    </row>
    <row r="610" spans="1:8" ht="12.5" x14ac:dyDescent="0.25">
      <c r="A610" s="29"/>
      <c r="H610" s="30"/>
    </row>
    <row r="611" spans="1:8" ht="12.5" x14ac:dyDescent="0.25">
      <c r="A611" s="29"/>
      <c r="H611" s="30"/>
    </row>
    <row r="612" spans="1:8" ht="12.5" x14ac:dyDescent="0.25">
      <c r="A612" s="29"/>
      <c r="H612" s="30"/>
    </row>
    <row r="613" spans="1:8" ht="12.5" x14ac:dyDescent="0.25">
      <c r="A613" s="29"/>
      <c r="H613" s="30"/>
    </row>
    <row r="614" spans="1:8" ht="12.5" x14ac:dyDescent="0.25">
      <c r="A614" s="29"/>
      <c r="H614" s="30"/>
    </row>
    <row r="615" spans="1:8" ht="12.5" x14ac:dyDescent="0.25">
      <c r="A615" s="29"/>
      <c r="H615" s="30"/>
    </row>
    <row r="616" spans="1:8" ht="12.5" x14ac:dyDescent="0.25">
      <c r="A616" s="29"/>
      <c r="H616" s="30"/>
    </row>
    <row r="617" spans="1:8" ht="12.5" x14ac:dyDescent="0.25">
      <c r="A617" s="29"/>
      <c r="H617" s="30"/>
    </row>
    <row r="618" spans="1:8" ht="12.5" x14ac:dyDescent="0.25">
      <c r="A618" s="29"/>
      <c r="H618" s="30"/>
    </row>
    <row r="619" spans="1:8" ht="12.5" x14ac:dyDescent="0.25">
      <c r="A619" s="29"/>
      <c r="H619" s="30"/>
    </row>
    <row r="620" spans="1:8" ht="12.5" x14ac:dyDescent="0.25">
      <c r="A620" s="29"/>
      <c r="H620" s="30"/>
    </row>
    <row r="621" spans="1:8" ht="12.5" x14ac:dyDescent="0.25">
      <c r="A621" s="29"/>
      <c r="H621" s="30"/>
    </row>
    <row r="622" spans="1:8" ht="12.5" x14ac:dyDescent="0.25">
      <c r="A622" s="29"/>
      <c r="H622" s="30"/>
    </row>
    <row r="623" spans="1:8" ht="12.5" x14ac:dyDescent="0.25">
      <c r="A623" s="29"/>
      <c r="H623" s="30"/>
    </row>
    <row r="624" spans="1:8" ht="12.5" x14ac:dyDescent="0.25">
      <c r="A624" s="29"/>
      <c r="H624" s="30"/>
    </row>
    <row r="625" spans="1:8" ht="12.5" x14ac:dyDescent="0.25">
      <c r="A625" s="29"/>
      <c r="H625" s="30"/>
    </row>
    <row r="626" spans="1:8" ht="12.5" x14ac:dyDescent="0.25">
      <c r="A626" s="29"/>
      <c r="H626" s="30"/>
    </row>
    <row r="627" spans="1:8" ht="12.5" x14ac:dyDescent="0.25">
      <c r="A627" s="29"/>
      <c r="H627" s="30"/>
    </row>
    <row r="628" spans="1:8" ht="12.5" x14ac:dyDescent="0.25">
      <c r="A628" s="29"/>
      <c r="H628" s="30"/>
    </row>
    <row r="629" spans="1:8" ht="12.5" x14ac:dyDescent="0.25">
      <c r="A629" s="29"/>
      <c r="H629" s="30"/>
    </row>
    <row r="630" spans="1:8" ht="12.5" x14ac:dyDescent="0.25">
      <c r="A630" s="29"/>
      <c r="H630" s="30"/>
    </row>
    <row r="631" spans="1:8" ht="12.5" x14ac:dyDescent="0.25">
      <c r="A631" s="29"/>
      <c r="H631" s="30"/>
    </row>
    <row r="632" spans="1:8" ht="12.5" x14ac:dyDescent="0.25">
      <c r="A632" s="29"/>
      <c r="H632" s="30"/>
    </row>
    <row r="633" spans="1:8" ht="12.5" x14ac:dyDescent="0.25">
      <c r="A633" s="29"/>
      <c r="H633" s="30"/>
    </row>
    <row r="634" spans="1:8" ht="12.5" x14ac:dyDescent="0.25">
      <c r="A634" s="29"/>
      <c r="H634" s="30"/>
    </row>
    <row r="635" spans="1:8" ht="12.5" x14ac:dyDescent="0.25">
      <c r="A635" s="29"/>
      <c r="H635" s="30"/>
    </row>
    <row r="636" spans="1:8" ht="12.5" x14ac:dyDescent="0.25">
      <c r="A636" s="29"/>
      <c r="H636" s="30"/>
    </row>
    <row r="637" spans="1:8" ht="12.5" x14ac:dyDescent="0.25">
      <c r="A637" s="29"/>
      <c r="H637" s="30"/>
    </row>
    <row r="638" spans="1:8" ht="12.5" x14ac:dyDescent="0.25">
      <c r="A638" s="29"/>
      <c r="H638" s="30"/>
    </row>
    <row r="639" spans="1:8" ht="12.5" x14ac:dyDescent="0.25">
      <c r="A639" s="29"/>
      <c r="H639" s="30"/>
    </row>
    <row r="640" spans="1:8" ht="12.5" x14ac:dyDescent="0.25">
      <c r="A640" s="29"/>
      <c r="H640" s="30"/>
    </row>
    <row r="641" spans="1:8" ht="12.5" x14ac:dyDescent="0.25">
      <c r="A641" s="29"/>
      <c r="H641" s="30"/>
    </row>
    <row r="642" spans="1:8" ht="12.5" x14ac:dyDescent="0.25">
      <c r="A642" s="29"/>
      <c r="H642" s="30"/>
    </row>
    <row r="643" spans="1:8" ht="12.5" x14ac:dyDescent="0.25">
      <c r="A643" s="29"/>
      <c r="H643" s="30"/>
    </row>
    <row r="644" spans="1:8" ht="12.5" x14ac:dyDescent="0.25">
      <c r="A644" s="29"/>
      <c r="H644" s="30"/>
    </row>
    <row r="645" spans="1:8" ht="12.5" x14ac:dyDescent="0.25">
      <c r="A645" s="29"/>
      <c r="H645" s="30"/>
    </row>
    <row r="646" spans="1:8" ht="12.5" x14ac:dyDescent="0.25">
      <c r="A646" s="29"/>
      <c r="H646" s="30"/>
    </row>
    <row r="647" spans="1:8" ht="12.5" x14ac:dyDescent="0.25">
      <c r="A647" s="29"/>
      <c r="H647" s="30"/>
    </row>
    <row r="648" spans="1:8" ht="12.5" x14ac:dyDescent="0.25">
      <c r="A648" s="29"/>
      <c r="H648" s="30"/>
    </row>
    <row r="649" spans="1:8" ht="12.5" x14ac:dyDescent="0.25">
      <c r="A649" s="29"/>
      <c r="H649" s="30"/>
    </row>
    <row r="650" spans="1:8" ht="12.5" x14ac:dyDescent="0.25">
      <c r="A650" s="29"/>
      <c r="H650" s="30"/>
    </row>
    <row r="651" spans="1:8" ht="12.5" x14ac:dyDescent="0.25">
      <c r="A651" s="29"/>
      <c r="H651" s="30"/>
    </row>
    <row r="652" spans="1:8" ht="12.5" x14ac:dyDescent="0.25">
      <c r="A652" s="29"/>
      <c r="H652" s="30"/>
    </row>
    <row r="653" spans="1:8" ht="12.5" x14ac:dyDescent="0.25">
      <c r="A653" s="29"/>
      <c r="H653" s="30"/>
    </row>
    <row r="654" spans="1:8" ht="12.5" x14ac:dyDescent="0.25">
      <c r="A654" s="29"/>
      <c r="H654" s="30"/>
    </row>
    <row r="655" spans="1:8" ht="12.5" x14ac:dyDescent="0.25">
      <c r="A655" s="29"/>
      <c r="H655" s="30"/>
    </row>
    <row r="656" spans="1:8" ht="12.5" x14ac:dyDescent="0.25">
      <c r="A656" s="29"/>
      <c r="H656" s="30"/>
    </row>
    <row r="657" spans="1:8" ht="12.5" x14ac:dyDescent="0.25">
      <c r="A657" s="29"/>
      <c r="H657" s="30"/>
    </row>
    <row r="658" spans="1:8" ht="12.5" x14ac:dyDescent="0.25">
      <c r="A658" s="29"/>
      <c r="H658" s="30"/>
    </row>
    <row r="659" spans="1:8" ht="12.5" x14ac:dyDescent="0.25">
      <c r="A659" s="29"/>
      <c r="H659" s="30"/>
    </row>
    <row r="660" spans="1:8" ht="12.5" x14ac:dyDescent="0.25">
      <c r="A660" s="29"/>
      <c r="H660" s="30"/>
    </row>
    <row r="661" spans="1:8" ht="12.5" x14ac:dyDescent="0.25">
      <c r="A661" s="29"/>
      <c r="H661" s="30"/>
    </row>
    <row r="662" spans="1:8" ht="12.5" x14ac:dyDescent="0.25">
      <c r="A662" s="29"/>
      <c r="H662" s="30"/>
    </row>
    <row r="663" spans="1:8" ht="12.5" x14ac:dyDescent="0.25">
      <c r="A663" s="29"/>
      <c r="H663" s="30"/>
    </row>
    <row r="664" spans="1:8" ht="12.5" x14ac:dyDescent="0.25">
      <c r="A664" s="29"/>
      <c r="H664" s="30"/>
    </row>
    <row r="665" spans="1:8" ht="12.5" x14ac:dyDescent="0.25">
      <c r="A665" s="29"/>
      <c r="H665" s="30"/>
    </row>
    <row r="666" spans="1:8" ht="12.5" x14ac:dyDescent="0.25">
      <c r="A666" s="29"/>
      <c r="H666" s="30"/>
    </row>
    <row r="667" spans="1:8" ht="12.5" x14ac:dyDescent="0.25">
      <c r="A667" s="29"/>
      <c r="H667" s="30"/>
    </row>
    <row r="668" spans="1:8" ht="12.5" x14ac:dyDescent="0.25">
      <c r="A668" s="29"/>
      <c r="H668" s="30"/>
    </row>
    <row r="669" spans="1:8" ht="12.5" x14ac:dyDescent="0.25">
      <c r="A669" s="29"/>
      <c r="H669" s="30"/>
    </row>
    <row r="670" spans="1:8" ht="12.5" x14ac:dyDescent="0.25">
      <c r="A670" s="29"/>
      <c r="H670" s="30"/>
    </row>
    <row r="671" spans="1:8" ht="12.5" x14ac:dyDescent="0.25">
      <c r="A671" s="29"/>
      <c r="H671" s="30"/>
    </row>
    <row r="672" spans="1:8" ht="12.5" x14ac:dyDescent="0.25">
      <c r="A672" s="29"/>
      <c r="H672" s="30"/>
    </row>
    <row r="673" spans="1:8" ht="12.5" x14ac:dyDescent="0.25">
      <c r="A673" s="29"/>
      <c r="H673" s="30"/>
    </row>
    <row r="674" spans="1:8" ht="12.5" x14ac:dyDescent="0.25">
      <c r="A674" s="29"/>
      <c r="H674" s="30"/>
    </row>
    <row r="675" spans="1:8" ht="12.5" x14ac:dyDescent="0.25">
      <c r="A675" s="29"/>
      <c r="H675" s="30"/>
    </row>
    <row r="676" spans="1:8" ht="12.5" x14ac:dyDescent="0.25">
      <c r="A676" s="29"/>
      <c r="H676" s="30"/>
    </row>
    <row r="677" spans="1:8" ht="12.5" x14ac:dyDescent="0.25">
      <c r="A677" s="29"/>
      <c r="H677" s="30"/>
    </row>
    <row r="678" spans="1:8" ht="12.5" x14ac:dyDescent="0.25">
      <c r="A678" s="29"/>
      <c r="H678" s="30"/>
    </row>
    <row r="679" spans="1:8" ht="12.5" x14ac:dyDescent="0.25">
      <c r="A679" s="29"/>
      <c r="H679" s="30"/>
    </row>
    <row r="680" spans="1:8" ht="12.5" x14ac:dyDescent="0.25">
      <c r="A680" s="29"/>
      <c r="H680" s="30"/>
    </row>
    <row r="681" spans="1:8" ht="12.5" x14ac:dyDescent="0.25">
      <c r="A681" s="29"/>
      <c r="H681" s="30"/>
    </row>
    <row r="682" spans="1:8" ht="12.5" x14ac:dyDescent="0.25">
      <c r="A682" s="29"/>
      <c r="H682" s="30"/>
    </row>
    <row r="683" spans="1:8" ht="12.5" x14ac:dyDescent="0.25">
      <c r="A683" s="29"/>
      <c r="H683" s="30"/>
    </row>
    <row r="684" spans="1:8" ht="12.5" x14ac:dyDescent="0.25">
      <c r="A684" s="29"/>
      <c r="H684" s="30"/>
    </row>
    <row r="685" spans="1:8" ht="12.5" x14ac:dyDescent="0.25">
      <c r="A685" s="29"/>
      <c r="H685" s="30"/>
    </row>
    <row r="686" spans="1:8" ht="12.5" x14ac:dyDescent="0.25">
      <c r="A686" s="29"/>
      <c r="H686" s="30"/>
    </row>
    <row r="687" spans="1:8" ht="12.5" x14ac:dyDescent="0.25">
      <c r="A687" s="29"/>
      <c r="H687" s="30"/>
    </row>
    <row r="688" spans="1:8" ht="12.5" x14ac:dyDescent="0.25">
      <c r="A688" s="29"/>
      <c r="H688" s="30"/>
    </row>
    <row r="689" spans="1:8" ht="12.5" x14ac:dyDescent="0.25">
      <c r="A689" s="29"/>
      <c r="H689" s="30"/>
    </row>
    <row r="690" spans="1:8" ht="12.5" x14ac:dyDescent="0.25">
      <c r="A690" s="29"/>
      <c r="H690" s="30"/>
    </row>
    <row r="691" spans="1:8" ht="12.5" x14ac:dyDescent="0.25">
      <c r="A691" s="29"/>
      <c r="H691" s="30"/>
    </row>
    <row r="692" spans="1:8" ht="12.5" x14ac:dyDescent="0.25">
      <c r="A692" s="29"/>
      <c r="H692" s="30"/>
    </row>
    <row r="693" spans="1:8" ht="12.5" x14ac:dyDescent="0.25">
      <c r="A693" s="29"/>
      <c r="H693" s="30"/>
    </row>
    <row r="694" spans="1:8" ht="12.5" x14ac:dyDescent="0.25">
      <c r="A694" s="29"/>
      <c r="H694" s="30"/>
    </row>
    <row r="695" spans="1:8" ht="12.5" x14ac:dyDescent="0.25">
      <c r="A695" s="29"/>
      <c r="H695" s="30"/>
    </row>
    <row r="696" spans="1:8" ht="12.5" x14ac:dyDescent="0.25">
      <c r="A696" s="29"/>
      <c r="H696" s="30"/>
    </row>
    <row r="697" spans="1:8" ht="12.5" x14ac:dyDescent="0.25">
      <c r="A697" s="29"/>
      <c r="H697" s="30"/>
    </row>
    <row r="698" spans="1:8" ht="12.5" x14ac:dyDescent="0.25">
      <c r="A698" s="29"/>
      <c r="H698" s="30"/>
    </row>
    <row r="699" spans="1:8" ht="12.5" x14ac:dyDescent="0.25">
      <c r="A699" s="29"/>
      <c r="H699" s="30"/>
    </row>
    <row r="700" spans="1:8" ht="12.5" x14ac:dyDescent="0.25">
      <c r="A700" s="29"/>
      <c r="H700" s="30"/>
    </row>
    <row r="701" spans="1:8" ht="12.5" x14ac:dyDescent="0.25">
      <c r="A701" s="29"/>
      <c r="H701" s="30"/>
    </row>
    <row r="702" spans="1:8" ht="12.5" x14ac:dyDescent="0.25">
      <c r="A702" s="29"/>
      <c r="H702" s="30"/>
    </row>
    <row r="703" spans="1:8" ht="12.5" x14ac:dyDescent="0.25">
      <c r="A703" s="29"/>
      <c r="H703" s="30"/>
    </row>
    <row r="704" spans="1:8" ht="12.5" x14ac:dyDescent="0.25">
      <c r="A704" s="29"/>
      <c r="H704" s="30"/>
    </row>
    <row r="705" spans="1:8" ht="12.5" x14ac:dyDescent="0.25">
      <c r="A705" s="29"/>
      <c r="H705" s="30"/>
    </row>
    <row r="706" spans="1:8" ht="12.5" x14ac:dyDescent="0.25">
      <c r="A706" s="29"/>
      <c r="H706" s="30"/>
    </row>
    <row r="707" spans="1:8" ht="12.5" x14ac:dyDescent="0.25">
      <c r="A707" s="29"/>
      <c r="H707" s="30"/>
    </row>
    <row r="708" spans="1:8" ht="12.5" x14ac:dyDescent="0.25">
      <c r="A708" s="29"/>
      <c r="H708" s="30"/>
    </row>
    <row r="709" spans="1:8" ht="12.5" x14ac:dyDescent="0.25">
      <c r="A709" s="29"/>
      <c r="H709" s="30"/>
    </row>
    <row r="710" spans="1:8" ht="12.5" x14ac:dyDescent="0.25">
      <c r="A710" s="29"/>
      <c r="H710" s="30"/>
    </row>
    <row r="711" spans="1:8" ht="12.5" x14ac:dyDescent="0.25">
      <c r="A711" s="29"/>
      <c r="H711" s="30"/>
    </row>
    <row r="712" spans="1:8" ht="12.5" x14ac:dyDescent="0.25">
      <c r="A712" s="29"/>
      <c r="H712" s="30"/>
    </row>
    <row r="713" spans="1:8" ht="12.5" x14ac:dyDescent="0.25">
      <c r="A713" s="29"/>
      <c r="H713" s="30"/>
    </row>
    <row r="714" spans="1:8" ht="12.5" x14ac:dyDescent="0.25">
      <c r="A714" s="29"/>
      <c r="H714" s="30"/>
    </row>
    <row r="715" spans="1:8" ht="12.5" x14ac:dyDescent="0.25">
      <c r="A715" s="29"/>
      <c r="H715" s="30"/>
    </row>
    <row r="716" spans="1:8" ht="12.5" x14ac:dyDescent="0.25">
      <c r="A716" s="29"/>
      <c r="H716" s="30"/>
    </row>
    <row r="717" spans="1:8" ht="12.5" x14ac:dyDescent="0.25">
      <c r="A717" s="29"/>
      <c r="H717" s="30"/>
    </row>
    <row r="718" spans="1:8" ht="12.5" x14ac:dyDescent="0.25">
      <c r="A718" s="29"/>
      <c r="H718" s="30"/>
    </row>
    <row r="719" spans="1:8" ht="12.5" x14ac:dyDescent="0.25">
      <c r="A719" s="29"/>
      <c r="H719" s="30"/>
    </row>
    <row r="720" spans="1:8" ht="12.5" x14ac:dyDescent="0.25">
      <c r="A720" s="29"/>
      <c r="H720" s="30"/>
    </row>
    <row r="721" spans="1:8" ht="12.5" x14ac:dyDescent="0.25">
      <c r="A721" s="29"/>
      <c r="H721" s="30"/>
    </row>
    <row r="722" spans="1:8" ht="12.5" x14ac:dyDescent="0.25">
      <c r="A722" s="29"/>
      <c r="H722" s="30"/>
    </row>
    <row r="723" spans="1:8" ht="12.5" x14ac:dyDescent="0.25">
      <c r="A723" s="29"/>
      <c r="H723" s="30"/>
    </row>
    <row r="724" spans="1:8" ht="12.5" x14ac:dyDescent="0.25">
      <c r="A724" s="29"/>
      <c r="H724" s="30"/>
    </row>
    <row r="725" spans="1:8" ht="12.5" x14ac:dyDescent="0.25">
      <c r="A725" s="29"/>
      <c r="H725" s="30"/>
    </row>
    <row r="726" spans="1:8" ht="12.5" x14ac:dyDescent="0.25">
      <c r="A726" s="29"/>
      <c r="H726" s="30"/>
    </row>
    <row r="727" spans="1:8" ht="12.5" x14ac:dyDescent="0.25">
      <c r="A727" s="29"/>
      <c r="H727" s="30"/>
    </row>
    <row r="728" spans="1:8" ht="12.5" x14ac:dyDescent="0.25">
      <c r="A728" s="29"/>
      <c r="H728" s="30"/>
    </row>
    <row r="729" spans="1:8" ht="12.5" x14ac:dyDescent="0.25">
      <c r="A729" s="29"/>
      <c r="H729" s="30"/>
    </row>
    <row r="730" spans="1:8" ht="12.5" x14ac:dyDescent="0.25">
      <c r="A730" s="29"/>
      <c r="H730" s="30"/>
    </row>
    <row r="731" spans="1:8" ht="12.5" x14ac:dyDescent="0.25">
      <c r="A731" s="29"/>
      <c r="H731" s="30"/>
    </row>
    <row r="732" spans="1:8" ht="12.5" x14ac:dyDescent="0.25">
      <c r="A732" s="29"/>
      <c r="H732" s="30"/>
    </row>
    <row r="733" spans="1:8" ht="12.5" x14ac:dyDescent="0.25">
      <c r="A733" s="29"/>
      <c r="H733" s="30"/>
    </row>
    <row r="734" spans="1:8" ht="12.5" x14ac:dyDescent="0.25">
      <c r="A734" s="29"/>
      <c r="H734" s="30"/>
    </row>
    <row r="735" spans="1:8" ht="12.5" x14ac:dyDescent="0.25">
      <c r="A735" s="29"/>
      <c r="H735" s="30"/>
    </row>
    <row r="736" spans="1:8" ht="12.5" x14ac:dyDescent="0.25">
      <c r="A736" s="29"/>
      <c r="H736" s="30"/>
    </row>
    <row r="737" spans="1:8" ht="12.5" x14ac:dyDescent="0.25">
      <c r="A737" s="29"/>
      <c r="H737" s="30"/>
    </row>
    <row r="738" spans="1:8" ht="12.5" x14ac:dyDescent="0.25">
      <c r="A738" s="29"/>
      <c r="H738" s="30"/>
    </row>
    <row r="739" spans="1:8" ht="12.5" x14ac:dyDescent="0.25">
      <c r="A739" s="29"/>
      <c r="H739" s="30"/>
    </row>
    <row r="740" spans="1:8" ht="12.5" x14ac:dyDescent="0.25">
      <c r="A740" s="29"/>
      <c r="H740" s="30"/>
    </row>
    <row r="741" spans="1:8" ht="12.5" x14ac:dyDescent="0.25">
      <c r="A741" s="29"/>
      <c r="H741" s="30"/>
    </row>
    <row r="742" spans="1:8" ht="12.5" x14ac:dyDescent="0.25">
      <c r="A742" s="29"/>
      <c r="H742" s="30"/>
    </row>
    <row r="743" spans="1:8" ht="12.5" x14ac:dyDescent="0.25">
      <c r="A743" s="29"/>
      <c r="H743" s="30"/>
    </row>
    <row r="744" spans="1:8" ht="12.5" x14ac:dyDescent="0.25">
      <c r="A744" s="29"/>
      <c r="H744" s="30"/>
    </row>
    <row r="745" spans="1:8" ht="12.5" x14ac:dyDescent="0.25">
      <c r="A745" s="29"/>
      <c r="H745" s="30"/>
    </row>
    <row r="746" spans="1:8" ht="12.5" x14ac:dyDescent="0.25">
      <c r="A746" s="29"/>
      <c r="H746" s="30"/>
    </row>
    <row r="747" spans="1:8" ht="12.5" x14ac:dyDescent="0.25">
      <c r="A747" s="29"/>
      <c r="H747" s="30"/>
    </row>
    <row r="748" spans="1:8" ht="12.5" x14ac:dyDescent="0.25">
      <c r="A748" s="29"/>
      <c r="H748" s="30"/>
    </row>
    <row r="749" spans="1:8" ht="12.5" x14ac:dyDescent="0.25">
      <c r="A749" s="29"/>
      <c r="H749" s="30"/>
    </row>
    <row r="750" spans="1:8" ht="12.5" x14ac:dyDescent="0.25">
      <c r="A750" s="29"/>
      <c r="H750" s="30"/>
    </row>
    <row r="751" spans="1:8" ht="12.5" x14ac:dyDescent="0.25">
      <c r="A751" s="29"/>
      <c r="H751" s="30"/>
    </row>
    <row r="752" spans="1:8" ht="12.5" x14ac:dyDescent="0.25">
      <c r="A752" s="29"/>
      <c r="H752" s="30"/>
    </row>
    <row r="753" spans="1:8" ht="12.5" x14ac:dyDescent="0.25">
      <c r="A753" s="29"/>
      <c r="H753" s="30"/>
    </row>
    <row r="754" spans="1:8" ht="12.5" x14ac:dyDescent="0.25">
      <c r="A754" s="29"/>
      <c r="H754" s="30"/>
    </row>
    <row r="755" spans="1:8" ht="12.5" x14ac:dyDescent="0.25">
      <c r="A755" s="29"/>
      <c r="H755" s="30"/>
    </row>
    <row r="756" spans="1:8" ht="12.5" x14ac:dyDescent="0.25">
      <c r="A756" s="29"/>
      <c r="H756" s="30"/>
    </row>
    <row r="757" spans="1:8" ht="12.5" x14ac:dyDescent="0.25">
      <c r="A757" s="29"/>
      <c r="H757" s="30"/>
    </row>
    <row r="758" spans="1:8" ht="12.5" x14ac:dyDescent="0.25">
      <c r="A758" s="29"/>
      <c r="H758" s="30"/>
    </row>
    <row r="759" spans="1:8" ht="12.5" x14ac:dyDescent="0.25">
      <c r="A759" s="29"/>
      <c r="H759" s="30"/>
    </row>
    <row r="760" spans="1:8" ht="12.5" x14ac:dyDescent="0.25">
      <c r="A760" s="29"/>
      <c r="H760" s="30"/>
    </row>
    <row r="761" spans="1:8" ht="12.5" x14ac:dyDescent="0.25">
      <c r="A761" s="29"/>
      <c r="H761" s="30"/>
    </row>
    <row r="762" spans="1:8" ht="12.5" x14ac:dyDescent="0.25">
      <c r="A762" s="29"/>
      <c r="H762" s="30"/>
    </row>
    <row r="763" spans="1:8" ht="12.5" x14ac:dyDescent="0.25">
      <c r="A763" s="29"/>
      <c r="H763" s="30"/>
    </row>
    <row r="764" spans="1:8" ht="12.5" x14ac:dyDescent="0.25">
      <c r="A764" s="29"/>
      <c r="H764" s="30"/>
    </row>
    <row r="765" spans="1:8" ht="12.5" x14ac:dyDescent="0.25">
      <c r="A765" s="29"/>
      <c r="H765" s="30"/>
    </row>
    <row r="766" spans="1:8" ht="12.5" x14ac:dyDescent="0.25">
      <c r="A766" s="29"/>
      <c r="H766" s="30"/>
    </row>
    <row r="767" spans="1:8" ht="12.5" x14ac:dyDescent="0.25">
      <c r="A767" s="29"/>
      <c r="H767" s="30"/>
    </row>
    <row r="768" spans="1:8" ht="12.5" x14ac:dyDescent="0.25">
      <c r="A768" s="29"/>
      <c r="H768" s="30"/>
    </row>
    <row r="769" spans="1:8" ht="12.5" x14ac:dyDescent="0.25">
      <c r="A769" s="29"/>
      <c r="H769" s="30"/>
    </row>
    <row r="770" spans="1:8" ht="12.5" x14ac:dyDescent="0.25">
      <c r="A770" s="29"/>
      <c r="H770" s="30"/>
    </row>
    <row r="771" spans="1:8" ht="12.5" x14ac:dyDescent="0.25">
      <c r="A771" s="29"/>
      <c r="H771" s="30"/>
    </row>
    <row r="772" spans="1:8" ht="12.5" x14ac:dyDescent="0.25">
      <c r="A772" s="29"/>
      <c r="H772" s="30"/>
    </row>
    <row r="773" spans="1:8" ht="12.5" x14ac:dyDescent="0.25">
      <c r="A773" s="29"/>
      <c r="H773" s="30"/>
    </row>
    <row r="774" spans="1:8" ht="12.5" x14ac:dyDescent="0.25">
      <c r="A774" s="29"/>
      <c r="H774" s="30"/>
    </row>
    <row r="775" spans="1:8" ht="12.5" x14ac:dyDescent="0.25">
      <c r="A775" s="29"/>
      <c r="H775" s="30"/>
    </row>
    <row r="776" spans="1:8" ht="12.5" x14ac:dyDescent="0.25">
      <c r="A776" s="29"/>
      <c r="H776" s="30"/>
    </row>
    <row r="777" spans="1:8" ht="12.5" x14ac:dyDescent="0.25">
      <c r="A777" s="29"/>
      <c r="H777" s="30"/>
    </row>
    <row r="778" spans="1:8" ht="12.5" x14ac:dyDescent="0.25">
      <c r="A778" s="29"/>
      <c r="H778" s="30"/>
    </row>
    <row r="779" spans="1:8" ht="12.5" x14ac:dyDescent="0.25">
      <c r="A779" s="29"/>
      <c r="H779" s="30"/>
    </row>
    <row r="780" spans="1:8" ht="12.5" x14ac:dyDescent="0.25">
      <c r="A780" s="29"/>
      <c r="H780" s="30"/>
    </row>
    <row r="781" spans="1:8" ht="12.5" x14ac:dyDescent="0.25">
      <c r="A781" s="29"/>
      <c r="H781" s="30"/>
    </row>
    <row r="782" spans="1:8" ht="12.5" x14ac:dyDescent="0.25">
      <c r="A782" s="29"/>
      <c r="H782" s="30"/>
    </row>
    <row r="783" spans="1:8" ht="12.5" x14ac:dyDescent="0.25">
      <c r="A783" s="29"/>
      <c r="H783" s="30"/>
    </row>
    <row r="784" spans="1:8" ht="12.5" x14ac:dyDescent="0.25">
      <c r="A784" s="29"/>
      <c r="H784" s="30"/>
    </row>
    <row r="785" spans="1:8" ht="12.5" x14ac:dyDescent="0.25">
      <c r="A785" s="29"/>
      <c r="H785" s="30"/>
    </row>
    <row r="786" spans="1:8" ht="12.5" x14ac:dyDescent="0.25">
      <c r="A786" s="29"/>
      <c r="H786" s="30"/>
    </row>
    <row r="787" spans="1:8" ht="12.5" x14ac:dyDescent="0.25">
      <c r="A787" s="29"/>
      <c r="H787" s="30"/>
    </row>
    <row r="788" spans="1:8" ht="12.5" x14ac:dyDescent="0.25">
      <c r="A788" s="29"/>
      <c r="H788" s="30"/>
    </row>
    <row r="789" spans="1:8" ht="12.5" x14ac:dyDescent="0.25">
      <c r="A789" s="29"/>
      <c r="H789" s="30"/>
    </row>
    <row r="790" spans="1:8" ht="12.5" x14ac:dyDescent="0.25">
      <c r="A790" s="29"/>
      <c r="H790" s="30"/>
    </row>
    <row r="791" spans="1:8" ht="12.5" x14ac:dyDescent="0.25">
      <c r="A791" s="29"/>
      <c r="H791" s="30"/>
    </row>
    <row r="792" spans="1:8" ht="12.5" x14ac:dyDescent="0.25">
      <c r="A792" s="29"/>
      <c r="H792" s="30"/>
    </row>
    <row r="793" spans="1:8" ht="12.5" x14ac:dyDescent="0.25">
      <c r="A793" s="29"/>
      <c r="H793" s="30"/>
    </row>
    <row r="794" spans="1:8" ht="12.5" x14ac:dyDescent="0.25">
      <c r="A794" s="29"/>
      <c r="H794" s="30"/>
    </row>
    <row r="795" spans="1:8" ht="12.5" x14ac:dyDescent="0.25">
      <c r="A795" s="29"/>
      <c r="H795" s="30"/>
    </row>
    <row r="796" spans="1:8" ht="12.5" x14ac:dyDescent="0.25">
      <c r="A796" s="29"/>
      <c r="H796" s="30"/>
    </row>
    <row r="797" spans="1:8" ht="12.5" x14ac:dyDescent="0.25">
      <c r="A797" s="29"/>
      <c r="H797" s="30"/>
    </row>
    <row r="798" spans="1:8" ht="12.5" x14ac:dyDescent="0.25">
      <c r="A798" s="29"/>
      <c r="H798" s="30"/>
    </row>
    <row r="799" spans="1:8" ht="12.5" x14ac:dyDescent="0.25">
      <c r="A799" s="29"/>
      <c r="H799" s="30"/>
    </row>
    <row r="800" spans="1:8" ht="12.5" x14ac:dyDescent="0.25">
      <c r="A800" s="29"/>
      <c r="H800" s="30"/>
    </row>
    <row r="801" spans="1:8" ht="12.5" x14ac:dyDescent="0.25">
      <c r="A801" s="29"/>
      <c r="H801" s="30"/>
    </row>
    <row r="802" spans="1:8" ht="12.5" x14ac:dyDescent="0.25">
      <c r="A802" s="29"/>
      <c r="H802" s="30"/>
    </row>
    <row r="803" spans="1:8" ht="12.5" x14ac:dyDescent="0.25">
      <c r="A803" s="29"/>
      <c r="H803" s="30"/>
    </row>
    <row r="804" spans="1:8" ht="12.5" x14ac:dyDescent="0.25">
      <c r="A804" s="29"/>
      <c r="H804" s="30"/>
    </row>
    <row r="805" spans="1:8" ht="12.5" x14ac:dyDescent="0.25">
      <c r="A805" s="29"/>
      <c r="H805" s="30"/>
    </row>
    <row r="806" spans="1:8" ht="12.5" x14ac:dyDescent="0.25">
      <c r="A806" s="29"/>
      <c r="H806" s="30"/>
    </row>
    <row r="807" spans="1:8" ht="12.5" x14ac:dyDescent="0.25">
      <c r="A807" s="29"/>
      <c r="H807" s="30"/>
    </row>
    <row r="808" spans="1:8" ht="12.5" x14ac:dyDescent="0.25">
      <c r="A808" s="29"/>
      <c r="H808" s="30"/>
    </row>
    <row r="809" spans="1:8" ht="12.5" x14ac:dyDescent="0.25">
      <c r="A809" s="29"/>
      <c r="H809" s="30"/>
    </row>
    <row r="810" spans="1:8" ht="12.5" x14ac:dyDescent="0.25">
      <c r="A810" s="29"/>
      <c r="H810" s="30"/>
    </row>
    <row r="811" spans="1:8" ht="12.5" x14ac:dyDescent="0.25">
      <c r="A811" s="29"/>
      <c r="H811" s="30"/>
    </row>
    <row r="812" spans="1:8" ht="12.5" x14ac:dyDescent="0.25">
      <c r="A812" s="29"/>
      <c r="H812" s="30"/>
    </row>
    <row r="813" spans="1:8" ht="12.5" x14ac:dyDescent="0.25">
      <c r="A813" s="29"/>
      <c r="H813" s="30"/>
    </row>
    <row r="814" spans="1:8" ht="12.5" x14ac:dyDescent="0.25">
      <c r="A814" s="29"/>
      <c r="H814" s="30"/>
    </row>
    <row r="815" spans="1:8" ht="12.5" x14ac:dyDescent="0.25">
      <c r="A815" s="29"/>
      <c r="H815" s="30"/>
    </row>
    <row r="816" spans="1:8" ht="12.5" x14ac:dyDescent="0.25">
      <c r="A816" s="29"/>
      <c r="H816" s="30"/>
    </row>
    <row r="817" spans="1:8" ht="12.5" x14ac:dyDescent="0.25">
      <c r="A817" s="29"/>
      <c r="H817" s="30"/>
    </row>
    <row r="818" spans="1:8" ht="12.5" x14ac:dyDescent="0.25">
      <c r="A818" s="29"/>
      <c r="H818" s="30"/>
    </row>
    <row r="819" spans="1:8" ht="12.5" x14ac:dyDescent="0.25">
      <c r="A819" s="29"/>
      <c r="H819" s="30"/>
    </row>
    <row r="820" spans="1:8" ht="12.5" x14ac:dyDescent="0.25">
      <c r="A820" s="29"/>
      <c r="H820" s="30"/>
    </row>
    <row r="821" spans="1:8" ht="12.5" x14ac:dyDescent="0.25">
      <c r="A821" s="29"/>
      <c r="H821" s="30"/>
    </row>
    <row r="822" spans="1:8" ht="12.5" x14ac:dyDescent="0.25">
      <c r="A822" s="29"/>
      <c r="H822" s="30"/>
    </row>
    <row r="823" spans="1:8" ht="12.5" x14ac:dyDescent="0.25">
      <c r="A823" s="29"/>
      <c r="H823" s="30"/>
    </row>
    <row r="824" spans="1:8" ht="12.5" x14ac:dyDescent="0.25">
      <c r="A824" s="29"/>
      <c r="H824" s="30"/>
    </row>
    <row r="825" spans="1:8" ht="12.5" x14ac:dyDescent="0.25">
      <c r="A825" s="29"/>
      <c r="H825" s="30"/>
    </row>
    <row r="826" spans="1:8" ht="12.5" x14ac:dyDescent="0.25">
      <c r="A826" s="29"/>
      <c r="H826" s="30"/>
    </row>
    <row r="827" spans="1:8" ht="12.5" x14ac:dyDescent="0.25">
      <c r="A827" s="29"/>
      <c r="H827" s="30"/>
    </row>
    <row r="828" spans="1:8" ht="12.5" x14ac:dyDescent="0.25">
      <c r="A828" s="29"/>
      <c r="H828" s="30"/>
    </row>
    <row r="829" spans="1:8" ht="12.5" x14ac:dyDescent="0.25">
      <c r="A829" s="29"/>
      <c r="H829" s="30"/>
    </row>
    <row r="830" spans="1:8" ht="12.5" x14ac:dyDescent="0.25">
      <c r="A830" s="29"/>
      <c r="H830" s="30"/>
    </row>
    <row r="831" spans="1:8" ht="12.5" x14ac:dyDescent="0.25">
      <c r="A831" s="29"/>
      <c r="H831" s="30"/>
    </row>
    <row r="832" spans="1:8" ht="12.5" x14ac:dyDescent="0.25">
      <c r="A832" s="29"/>
      <c r="H832" s="30"/>
    </row>
    <row r="833" spans="1:8" ht="12.5" x14ac:dyDescent="0.25">
      <c r="A833" s="29"/>
      <c r="H833" s="30"/>
    </row>
    <row r="834" spans="1:8" ht="12.5" x14ac:dyDescent="0.25">
      <c r="A834" s="29"/>
      <c r="H834" s="30"/>
    </row>
    <row r="835" spans="1:8" ht="12.5" x14ac:dyDescent="0.25">
      <c r="A835" s="29"/>
      <c r="H835" s="30"/>
    </row>
    <row r="836" spans="1:8" ht="12.5" x14ac:dyDescent="0.25">
      <c r="A836" s="29"/>
      <c r="H836" s="30"/>
    </row>
    <row r="837" spans="1:8" ht="12.5" x14ac:dyDescent="0.25">
      <c r="A837" s="29"/>
      <c r="H837" s="30"/>
    </row>
    <row r="838" spans="1:8" ht="12.5" x14ac:dyDescent="0.25">
      <c r="A838" s="29"/>
      <c r="H838" s="30"/>
    </row>
    <row r="839" spans="1:8" ht="12.5" x14ac:dyDescent="0.25">
      <c r="A839" s="29"/>
      <c r="H839" s="30"/>
    </row>
    <row r="840" spans="1:8" ht="12.5" x14ac:dyDescent="0.25">
      <c r="A840" s="29"/>
      <c r="H840" s="30"/>
    </row>
    <row r="841" spans="1:8" ht="12.5" x14ac:dyDescent="0.25">
      <c r="A841" s="29"/>
      <c r="H841" s="30"/>
    </row>
    <row r="842" spans="1:8" ht="12.5" x14ac:dyDescent="0.25">
      <c r="A842" s="29"/>
      <c r="H842" s="30"/>
    </row>
    <row r="843" spans="1:8" ht="12.5" x14ac:dyDescent="0.25">
      <c r="A843" s="29"/>
      <c r="H843" s="30"/>
    </row>
    <row r="844" spans="1:8" ht="12.5" x14ac:dyDescent="0.25">
      <c r="A844" s="29"/>
      <c r="H844" s="30"/>
    </row>
    <row r="845" spans="1:8" ht="12.5" x14ac:dyDescent="0.25">
      <c r="A845" s="29"/>
      <c r="H845" s="30"/>
    </row>
    <row r="846" spans="1:8" ht="12.5" x14ac:dyDescent="0.25">
      <c r="A846" s="29"/>
      <c r="H846" s="30"/>
    </row>
    <row r="847" spans="1:8" ht="12.5" x14ac:dyDescent="0.25">
      <c r="A847" s="29"/>
      <c r="H847" s="30"/>
    </row>
    <row r="848" spans="1:8" ht="12.5" x14ac:dyDescent="0.25">
      <c r="A848" s="29"/>
      <c r="H848" s="30"/>
    </row>
    <row r="849" spans="1:8" ht="12.5" x14ac:dyDescent="0.25">
      <c r="A849" s="29"/>
      <c r="H849" s="30"/>
    </row>
    <row r="850" spans="1:8" ht="12.5" x14ac:dyDescent="0.25">
      <c r="A850" s="29"/>
      <c r="H850" s="30"/>
    </row>
    <row r="851" spans="1:8" ht="12.5" x14ac:dyDescent="0.25">
      <c r="A851" s="29"/>
      <c r="H851" s="30"/>
    </row>
    <row r="852" spans="1:8" ht="12.5" x14ac:dyDescent="0.25">
      <c r="A852" s="29"/>
      <c r="H852" s="30"/>
    </row>
    <row r="853" spans="1:8" ht="12.5" x14ac:dyDescent="0.25">
      <c r="A853" s="29"/>
      <c r="H853" s="30"/>
    </row>
    <row r="854" spans="1:8" ht="12.5" x14ac:dyDescent="0.25">
      <c r="A854" s="29"/>
      <c r="H854" s="30"/>
    </row>
    <row r="855" spans="1:8" ht="12.5" x14ac:dyDescent="0.25">
      <c r="A855" s="29"/>
      <c r="H855" s="30"/>
    </row>
    <row r="856" spans="1:8" ht="12.5" x14ac:dyDescent="0.25">
      <c r="A856" s="29"/>
      <c r="H856" s="30"/>
    </row>
    <row r="857" spans="1:8" ht="12.5" x14ac:dyDescent="0.25">
      <c r="A857" s="29"/>
      <c r="H857" s="30"/>
    </row>
    <row r="858" spans="1:8" ht="12.5" x14ac:dyDescent="0.25">
      <c r="A858" s="29"/>
      <c r="H858" s="30"/>
    </row>
    <row r="859" spans="1:8" ht="12.5" x14ac:dyDescent="0.25">
      <c r="A859" s="29"/>
      <c r="H859" s="30"/>
    </row>
    <row r="860" spans="1:8" ht="12.5" x14ac:dyDescent="0.25">
      <c r="A860" s="29"/>
      <c r="H860" s="30"/>
    </row>
    <row r="861" spans="1:8" ht="12.5" x14ac:dyDescent="0.25">
      <c r="A861" s="29"/>
      <c r="H861" s="30"/>
    </row>
    <row r="862" spans="1:8" ht="12.5" x14ac:dyDescent="0.25">
      <c r="A862" s="29"/>
      <c r="H862" s="30"/>
    </row>
    <row r="863" spans="1:8" ht="12.5" x14ac:dyDescent="0.25">
      <c r="A863" s="29"/>
      <c r="H863" s="30"/>
    </row>
    <row r="864" spans="1:8" ht="12.5" x14ac:dyDescent="0.25">
      <c r="A864" s="29"/>
      <c r="H864" s="30"/>
    </row>
    <row r="865" spans="1:8" ht="12.5" x14ac:dyDescent="0.25">
      <c r="A865" s="29"/>
      <c r="H865" s="30"/>
    </row>
    <row r="866" spans="1:8" ht="12.5" x14ac:dyDescent="0.25">
      <c r="A866" s="29"/>
      <c r="H866" s="30"/>
    </row>
    <row r="867" spans="1:8" ht="12.5" x14ac:dyDescent="0.25">
      <c r="A867" s="29"/>
      <c r="H867" s="30"/>
    </row>
    <row r="868" spans="1:8" ht="12.5" x14ac:dyDescent="0.25">
      <c r="A868" s="29"/>
      <c r="H868" s="30"/>
    </row>
    <row r="869" spans="1:8" ht="12.5" x14ac:dyDescent="0.25">
      <c r="A869" s="29"/>
      <c r="H869" s="30"/>
    </row>
    <row r="870" spans="1:8" ht="12.5" x14ac:dyDescent="0.25">
      <c r="A870" s="29"/>
      <c r="H870" s="30"/>
    </row>
    <row r="871" spans="1:8" ht="12.5" x14ac:dyDescent="0.25">
      <c r="A871" s="29"/>
      <c r="H871" s="30"/>
    </row>
    <row r="872" spans="1:8" ht="12.5" x14ac:dyDescent="0.25">
      <c r="A872" s="29"/>
      <c r="H872" s="30"/>
    </row>
    <row r="873" spans="1:8" ht="12.5" x14ac:dyDescent="0.25">
      <c r="A873" s="29"/>
      <c r="H873" s="30"/>
    </row>
    <row r="874" spans="1:8" ht="12.5" x14ac:dyDescent="0.25">
      <c r="A874" s="29"/>
      <c r="H874" s="30"/>
    </row>
    <row r="875" spans="1:8" ht="12.5" x14ac:dyDescent="0.25">
      <c r="A875" s="29"/>
      <c r="H875" s="30"/>
    </row>
    <row r="876" spans="1:8" ht="12.5" x14ac:dyDescent="0.25">
      <c r="A876" s="29"/>
      <c r="H876" s="30"/>
    </row>
    <row r="877" spans="1:8" ht="12.5" x14ac:dyDescent="0.25">
      <c r="A877" s="29"/>
      <c r="H877" s="30"/>
    </row>
    <row r="878" spans="1:8" ht="12.5" x14ac:dyDescent="0.25">
      <c r="A878" s="29"/>
      <c r="H878" s="30"/>
    </row>
    <row r="879" spans="1:8" ht="12.5" x14ac:dyDescent="0.25">
      <c r="A879" s="29"/>
      <c r="H879" s="30"/>
    </row>
    <row r="880" spans="1:8" ht="12.5" x14ac:dyDescent="0.25">
      <c r="A880" s="29"/>
      <c r="H880" s="30"/>
    </row>
    <row r="881" spans="1:8" ht="12.5" x14ac:dyDescent="0.25">
      <c r="A881" s="29"/>
      <c r="H881" s="30"/>
    </row>
    <row r="882" spans="1:8" ht="12.5" x14ac:dyDescent="0.25">
      <c r="A882" s="29"/>
      <c r="H882" s="30"/>
    </row>
    <row r="883" spans="1:8" ht="12.5" x14ac:dyDescent="0.25">
      <c r="A883" s="29"/>
      <c r="H883" s="30"/>
    </row>
    <row r="884" spans="1:8" ht="12.5" x14ac:dyDescent="0.25">
      <c r="A884" s="29"/>
      <c r="H884" s="30"/>
    </row>
    <row r="885" spans="1:8" ht="12.5" x14ac:dyDescent="0.25">
      <c r="A885" s="29"/>
      <c r="H885" s="30"/>
    </row>
    <row r="886" spans="1:8" ht="12.5" x14ac:dyDescent="0.25">
      <c r="A886" s="29"/>
      <c r="H886" s="30"/>
    </row>
    <row r="887" spans="1:8" ht="12.5" x14ac:dyDescent="0.25">
      <c r="A887" s="29"/>
      <c r="H887" s="30"/>
    </row>
    <row r="888" spans="1:8" ht="12.5" x14ac:dyDescent="0.25">
      <c r="A888" s="29"/>
      <c r="H888" s="30"/>
    </row>
    <row r="889" spans="1:8" ht="12.5" x14ac:dyDescent="0.25">
      <c r="A889" s="29"/>
      <c r="H889" s="30"/>
    </row>
    <row r="890" spans="1:8" ht="12.5" x14ac:dyDescent="0.25">
      <c r="A890" s="29"/>
      <c r="H890" s="30"/>
    </row>
    <row r="891" spans="1:8" ht="12.5" x14ac:dyDescent="0.25">
      <c r="A891" s="29"/>
      <c r="H891" s="30"/>
    </row>
    <row r="892" spans="1:8" ht="12.5" x14ac:dyDescent="0.25">
      <c r="A892" s="29"/>
      <c r="H892" s="30"/>
    </row>
    <row r="893" spans="1:8" ht="12.5" x14ac:dyDescent="0.25">
      <c r="A893" s="29"/>
      <c r="H893" s="30"/>
    </row>
    <row r="894" spans="1:8" ht="12.5" x14ac:dyDescent="0.25">
      <c r="A894" s="29"/>
      <c r="H894" s="30"/>
    </row>
    <row r="895" spans="1:8" ht="12.5" x14ac:dyDescent="0.25">
      <c r="A895" s="29"/>
      <c r="H895" s="30"/>
    </row>
    <row r="896" spans="1:8" ht="12.5" x14ac:dyDescent="0.25">
      <c r="A896" s="29"/>
      <c r="H896" s="30"/>
    </row>
    <row r="897" spans="1:8" ht="12.5" x14ac:dyDescent="0.25">
      <c r="A897" s="29"/>
      <c r="H897" s="30"/>
    </row>
    <row r="898" spans="1:8" ht="12.5" x14ac:dyDescent="0.25">
      <c r="A898" s="29"/>
      <c r="H898" s="30"/>
    </row>
    <row r="899" spans="1:8" ht="12.5" x14ac:dyDescent="0.25">
      <c r="A899" s="29"/>
      <c r="H899" s="30"/>
    </row>
    <row r="900" spans="1:8" ht="12.5" x14ac:dyDescent="0.25">
      <c r="A900" s="29"/>
      <c r="H900" s="30"/>
    </row>
    <row r="901" spans="1:8" ht="12.5" x14ac:dyDescent="0.25">
      <c r="A901" s="29"/>
      <c r="H901" s="30"/>
    </row>
    <row r="902" spans="1:8" ht="12.5" x14ac:dyDescent="0.25">
      <c r="A902" s="29"/>
      <c r="H902" s="30"/>
    </row>
    <row r="903" spans="1:8" ht="12.5" x14ac:dyDescent="0.25">
      <c r="A903" s="29"/>
      <c r="H903" s="30"/>
    </row>
    <row r="904" spans="1:8" ht="12.5" x14ac:dyDescent="0.25">
      <c r="A904" s="29"/>
      <c r="H904" s="30"/>
    </row>
    <row r="905" spans="1:8" ht="12.5" x14ac:dyDescent="0.25">
      <c r="A905" s="29"/>
      <c r="H905" s="30"/>
    </row>
    <row r="906" spans="1:8" ht="12.5" x14ac:dyDescent="0.25">
      <c r="A906" s="29"/>
      <c r="H906" s="30"/>
    </row>
    <row r="907" spans="1:8" ht="12.5" x14ac:dyDescent="0.25">
      <c r="A907" s="29"/>
      <c r="H907" s="30"/>
    </row>
    <row r="908" spans="1:8" ht="12.5" x14ac:dyDescent="0.25">
      <c r="A908" s="29"/>
      <c r="H908" s="30"/>
    </row>
    <row r="909" spans="1:8" ht="12.5" x14ac:dyDescent="0.25">
      <c r="A909" s="29"/>
      <c r="H909" s="30"/>
    </row>
    <row r="910" spans="1:8" ht="12.5" x14ac:dyDescent="0.25">
      <c r="A910" s="29"/>
      <c r="H910" s="30"/>
    </row>
    <row r="911" spans="1:8" ht="12.5" x14ac:dyDescent="0.25">
      <c r="A911" s="29"/>
      <c r="H911" s="30"/>
    </row>
    <row r="912" spans="1:8" ht="12.5" x14ac:dyDescent="0.25">
      <c r="A912" s="29"/>
      <c r="H912" s="30"/>
    </row>
    <row r="913" spans="1:8" ht="12.5" x14ac:dyDescent="0.25">
      <c r="A913" s="29"/>
      <c r="H913" s="30"/>
    </row>
    <row r="914" spans="1:8" ht="12.5" x14ac:dyDescent="0.25">
      <c r="A914" s="29"/>
      <c r="H914" s="30"/>
    </row>
    <row r="915" spans="1:8" ht="12.5" x14ac:dyDescent="0.25">
      <c r="A915" s="29"/>
      <c r="H915" s="30"/>
    </row>
    <row r="916" spans="1:8" ht="12.5" x14ac:dyDescent="0.25">
      <c r="A916" s="29"/>
      <c r="H916" s="30"/>
    </row>
    <row r="917" spans="1:8" ht="12.5" x14ac:dyDescent="0.25">
      <c r="A917" s="29"/>
      <c r="H917" s="30"/>
    </row>
    <row r="918" spans="1:8" ht="12.5" x14ac:dyDescent="0.25">
      <c r="A918" s="29"/>
      <c r="H918" s="30"/>
    </row>
    <row r="919" spans="1:8" ht="12.5" x14ac:dyDescent="0.25">
      <c r="A919" s="29"/>
      <c r="H919" s="30"/>
    </row>
    <row r="920" spans="1:8" ht="12.5" x14ac:dyDescent="0.25">
      <c r="A920" s="29"/>
      <c r="H920" s="30"/>
    </row>
    <row r="921" spans="1:8" ht="12.5" x14ac:dyDescent="0.25">
      <c r="A921" s="29"/>
      <c r="H921" s="30"/>
    </row>
    <row r="922" spans="1:8" ht="12.5" x14ac:dyDescent="0.25">
      <c r="A922" s="29"/>
      <c r="H922" s="30"/>
    </row>
    <row r="923" spans="1:8" ht="12.5" x14ac:dyDescent="0.25">
      <c r="A923" s="29"/>
      <c r="H923" s="30"/>
    </row>
    <row r="924" spans="1:8" ht="12.5" x14ac:dyDescent="0.25">
      <c r="A924" s="29"/>
      <c r="H924" s="30"/>
    </row>
    <row r="925" spans="1:8" ht="12.5" x14ac:dyDescent="0.25">
      <c r="A925" s="29"/>
      <c r="H925" s="30"/>
    </row>
    <row r="926" spans="1:8" ht="12.5" x14ac:dyDescent="0.25">
      <c r="A926" s="29"/>
      <c r="H926" s="30"/>
    </row>
    <row r="927" spans="1:8" ht="12.5" x14ac:dyDescent="0.25">
      <c r="A927" s="29"/>
      <c r="H927" s="30"/>
    </row>
    <row r="928" spans="1:8" ht="12.5" x14ac:dyDescent="0.25">
      <c r="A928" s="29"/>
      <c r="H928" s="30"/>
    </row>
    <row r="929" spans="1:8" ht="12.5" x14ac:dyDescent="0.25">
      <c r="A929" s="29"/>
      <c r="H929" s="30"/>
    </row>
    <row r="930" spans="1:8" ht="12.5" x14ac:dyDescent="0.25">
      <c r="A930" s="29"/>
      <c r="H930" s="30"/>
    </row>
    <row r="931" spans="1:8" ht="12.5" x14ac:dyDescent="0.25">
      <c r="A931" s="29"/>
      <c r="H931" s="30"/>
    </row>
    <row r="932" spans="1:8" ht="12.5" x14ac:dyDescent="0.25">
      <c r="A932" s="29"/>
      <c r="H932" s="30"/>
    </row>
    <row r="933" spans="1:8" ht="12.5" x14ac:dyDescent="0.25">
      <c r="A933" s="29"/>
      <c r="H933" s="30"/>
    </row>
    <row r="934" spans="1:8" ht="12.5" x14ac:dyDescent="0.25">
      <c r="A934" s="29"/>
      <c r="H934" s="30"/>
    </row>
    <row r="935" spans="1:8" ht="12.5" x14ac:dyDescent="0.25">
      <c r="A935" s="29"/>
      <c r="H935" s="30"/>
    </row>
    <row r="936" spans="1:8" ht="12.5" x14ac:dyDescent="0.25">
      <c r="A936" s="29"/>
      <c r="H936" s="30"/>
    </row>
    <row r="937" spans="1:8" ht="12.5" x14ac:dyDescent="0.25">
      <c r="A937" s="29"/>
      <c r="H937" s="30"/>
    </row>
    <row r="938" spans="1:8" ht="12.5" x14ac:dyDescent="0.25">
      <c r="A938" s="29"/>
      <c r="H938" s="30"/>
    </row>
    <row r="939" spans="1:8" ht="12.5" x14ac:dyDescent="0.25">
      <c r="A939" s="29"/>
      <c r="H939" s="30"/>
    </row>
    <row r="940" spans="1:8" ht="12.5" x14ac:dyDescent="0.25">
      <c r="A940" s="29"/>
      <c r="H940" s="30"/>
    </row>
    <row r="941" spans="1:8" ht="12.5" x14ac:dyDescent="0.25">
      <c r="A941" s="29"/>
      <c r="H941" s="30"/>
    </row>
    <row r="942" spans="1:8" ht="12.5" x14ac:dyDescent="0.25">
      <c r="A942" s="29"/>
      <c r="H942" s="30"/>
    </row>
    <row r="943" spans="1:8" ht="12.5" x14ac:dyDescent="0.25">
      <c r="A943" s="29"/>
      <c r="H943" s="30"/>
    </row>
    <row r="944" spans="1:8" ht="12.5" x14ac:dyDescent="0.25">
      <c r="A944" s="29"/>
      <c r="H944" s="30"/>
    </row>
    <row r="945" spans="1:8" ht="12.5" x14ac:dyDescent="0.25">
      <c r="A945" s="29"/>
      <c r="H945" s="30"/>
    </row>
    <row r="946" spans="1:8" ht="12.5" x14ac:dyDescent="0.25">
      <c r="A946" s="29"/>
      <c r="H946" s="30"/>
    </row>
    <row r="947" spans="1:8" ht="12.5" x14ac:dyDescent="0.25">
      <c r="A947" s="29"/>
      <c r="H947" s="30"/>
    </row>
    <row r="948" spans="1:8" ht="12.5" x14ac:dyDescent="0.25">
      <c r="A948" s="29"/>
      <c r="H948" s="30"/>
    </row>
    <row r="949" spans="1:8" ht="12.5" x14ac:dyDescent="0.25">
      <c r="A949" s="29"/>
      <c r="H949" s="30"/>
    </row>
    <row r="950" spans="1:8" ht="12.5" x14ac:dyDescent="0.25">
      <c r="A950" s="29"/>
      <c r="H950" s="30"/>
    </row>
    <row r="951" spans="1:8" ht="12.5" x14ac:dyDescent="0.25">
      <c r="A951" s="29"/>
      <c r="H951" s="30"/>
    </row>
    <row r="952" spans="1:8" ht="12.5" x14ac:dyDescent="0.25">
      <c r="A952" s="29"/>
      <c r="H952" s="30"/>
    </row>
    <row r="953" spans="1:8" ht="12.5" x14ac:dyDescent="0.25">
      <c r="A953" s="29"/>
      <c r="H953" s="30"/>
    </row>
    <row r="954" spans="1:8" ht="12.5" x14ac:dyDescent="0.25">
      <c r="A954" s="29"/>
      <c r="H954" s="30"/>
    </row>
    <row r="955" spans="1:8" ht="12.5" x14ac:dyDescent="0.25">
      <c r="A955" s="29"/>
      <c r="H955" s="30"/>
    </row>
    <row r="956" spans="1:8" ht="12.5" x14ac:dyDescent="0.25">
      <c r="A956" s="29"/>
      <c r="H956" s="30"/>
    </row>
    <row r="957" spans="1:8" ht="12.5" x14ac:dyDescent="0.25">
      <c r="A957" s="29"/>
      <c r="H957" s="30"/>
    </row>
    <row r="958" spans="1:8" ht="12.5" x14ac:dyDescent="0.25">
      <c r="A958" s="29"/>
      <c r="H958" s="30"/>
    </row>
    <row r="959" spans="1:8" ht="12.5" x14ac:dyDescent="0.25">
      <c r="A959" s="29"/>
      <c r="H959" s="30"/>
    </row>
    <row r="960" spans="1:8" ht="12.5" x14ac:dyDescent="0.25">
      <c r="A960" s="29"/>
      <c r="H960" s="30"/>
    </row>
    <row r="961" spans="1:8" ht="12.5" x14ac:dyDescent="0.25">
      <c r="A961" s="29"/>
      <c r="H961" s="30"/>
    </row>
    <row r="962" spans="1:8" ht="12.5" x14ac:dyDescent="0.25">
      <c r="A962" s="29"/>
      <c r="H962" s="30"/>
    </row>
    <row r="963" spans="1:8" ht="12.5" x14ac:dyDescent="0.25">
      <c r="A963" s="29"/>
      <c r="H963" s="30"/>
    </row>
    <row r="964" spans="1:8" ht="12.5" x14ac:dyDescent="0.25">
      <c r="A964" s="29"/>
      <c r="H964" s="30"/>
    </row>
    <row r="965" spans="1:8" ht="12.5" x14ac:dyDescent="0.25">
      <c r="A965" s="29"/>
      <c r="H965" s="30"/>
    </row>
    <row r="966" spans="1:8" ht="12.5" x14ac:dyDescent="0.25">
      <c r="A966" s="29"/>
      <c r="H966" s="30"/>
    </row>
    <row r="967" spans="1:8" ht="12.5" x14ac:dyDescent="0.25">
      <c r="A967" s="29"/>
      <c r="H967" s="30"/>
    </row>
    <row r="968" spans="1:8" ht="12.5" x14ac:dyDescent="0.25">
      <c r="A968" s="29"/>
      <c r="H968" s="30"/>
    </row>
    <row r="969" spans="1:8" ht="12.5" x14ac:dyDescent="0.25">
      <c r="A969" s="29"/>
      <c r="H969" s="30"/>
    </row>
    <row r="970" spans="1:8" ht="12.5" x14ac:dyDescent="0.25">
      <c r="A970" s="29"/>
      <c r="H970" s="30"/>
    </row>
    <row r="971" spans="1:8" ht="12.5" x14ac:dyDescent="0.25">
      <c r="A971" s="29"/>
      <c r="H971" s="30"/>
    </row>
    <row r="972" spans="1:8" ht="12.5" x14ac:dyDescent="0.25">
      <c r="A972" s="29"/>
      <c r="H972" s="30"/>
    </row>
    <row r="973" spans="1:8" ht="12.5" x14ac:dyDescent="0.25">
      <c r="A973" s="29"/>
      <c r="H973" s="30"/>
    </row>
    <row r="974" spans="1:8" ht="12.5" x14ac:dyDescent="0.25">
      <c r="A974" s="29"/>
      <c r="H974" s="30"/>
    </row>
    <row r="975" spans="1:8" ht="12.5" x14ac:dyDescent="0.25">
      <c r="A975" s="29"/>
      <c r="H975" s="30"/>
    </row>
    <row r="976" spans="1:8" ht="12.5" x14ac:dyDescent="0.25">
      <c r="A976" s="29"/>
      <c r="H976" s="30"/>
    </row>
    <row r="977" spans="1:8" ht="12.5" x14ac:dyDescent="0.25">
      <c r="A977" s="29"/>
      <c r="H977" s="30"/>
    </row>
    <row r="978" spans="1:8" ht="12.5" x14ac:dyDescent="0.25">
      <c r="A978" s="29"/>
      <c r="H978" s="30"/>
    </row>
    <row r="979" spans="1:8" ht="12.5" x14ac:dyDescent="0.25">
      <c r="A979" s="29"/>
      <c r="H979" s="30"/>
    </row>
    <row r="980" spans="1:8" ht="12.5" x14ac:dyDescent="0.25">
      <c r="A980" s="29"/>
      <c r="H980" s="30"/>
    </row>
    <row r="981" spans="1:8" ht="12.5" x14ac:dyDescent="0.25">
      <c r="A981" s="29"/>
      <c r="H981" s="30"/>
    </row>
    <row r="982" spans="1:8" ht="12.5" x14ac:dyDescent="0.25">
      <c r="A982" s="29"/>
      <c r="H982" s="30"/>
    </row>
    <row r="983" spans="1:8" ht="12.5" x14ac:dyDescent="0.25">
      <c r="A983" s="29"/>
      <c r="H983" s="30"/>
    </row>
    <row r="984" spans="1:8" ht="12.5" x14ac:dyDescent="0.25">
      <c r="A984" s="29"/>
      <c r="H984" s="30"/>
    </row>
    <row r="985" spans="1:8" ht="12.5" x14ac:dyDescent="0.25">
      <c r="A985" s="29"/>
      <c r="H985" s="30"/>
    </row>
    <row r="986" spans="1:8" ht="12.5" x14ac:dyDescent="0.25">
      <c r="A986" s="29"/>
      <c r="H986" s="30"/>
    </row>
    <row r="987" spans="1:8" ht="12.5" x14ac:dyDescent="0.25">
      <c r="A987" s="29"/>
      <c r="H987" s="30"/>
    </row>
    <row r="988" spans="1:8" ht="12.5" x14ac:dyDescent="0.25">
      <c r="A988" s="29"/>
      <c r="H988" s="30"/>
    </row>
    <row r="989" spans="1:8" ht="12.5" x14ac:dyDescent="0.25">
      <c r="A989" s="29"/>
      <c r="H989" s="30"/>
    </row>
    <row r="990" spans="1:8" ht="12.5" x14ac:dyDescent="0.25">
      <c r="A990" s="29"/>
      <c r="H990" s="30"/>
    </row>
    <row r="991" spans="1:8" ht="12.5" x14ac:dyDescent="0.25">
      <c r="A991" s="29"/>
      <c r="H991" s="30"/>
    </row>
    <row r="992" spans="1:8" ht="12.5" x14ac:dyDescent="0.25">
      <c r="A992" s="29"/>
      <c r="H992" s="30"/>
    </row>
    <row r="993" spans="1:8" ht="12.5" x14ac:dyDescent="0.25">
      <c r="A993" s="29"/>
      <c r="H993" s="30"/>
    </row>
    <row r="994" spans="1:8" ht="12.5" x14ac:dyDescent="0.25">
      <c r="A994" s="29"/>
      <c r="H994" s="30"/>
    </row>
    <row r="995" spans="1:8" ht="12.5" x14ac:dyDescent="0.25">
      <c r="A995" s="29"/>
      <c r="H995" s="30"/>
    </row>
    <row r="996" spans="1:8" ht="12.5" x14ac:dyDescent="0.25">
      <c r="A996" s="29"/>
      <c r="H996" s="30"/>
    </row>
    <row r="997" spans="1:8" ht="12.5" x14ac:dyDescent="0.25">
      <c r="A997" s="29"/>
      <c r="H997" s="30"/>
    </row>
    <row r="998" spans="1:8" ht="12.5" x14ac:dyDescent="0.25">
      <c r="A998" s="29"/>
      <c r="H998" s="30"/>
    </row>
    <row r="999" spans="1:8" ht="12.5" x14ac:dyDescent="0.25">
      <c r="A999" s="29"/>
      <c r="H999" s="30"/>
    </row>
    <row r="1000" spans="1:8" ht="12.5" x14ac:dyDescent="0.25">
      <c r="A1000" s="29"/>
      <c r="H1000" s="30"/>
    </row>
    <row r="1001" spans="1:8" ht="12.5" x14ac:dyDescent="0.25">
      <c r="A1001" s="29"/>
      <c r="H1001" s="30"/>
    </row>
    <row r="1002" spans="1:8" ht="12.5" x14ac:dyDescent="0.25">
      <c r="A1002" s="29"/>
      <c r="H1002" s="30"/>
    </row>
    <row r="1003" spans="1:8" ht="12.5" x14ac:dyDescent="0.25">
      <c r="A1003" s="29"/>
      <c r="H1003" s="30"/>
    </row>
    <row r="1004" spans="1:8" ht="12.5" x14ac:dyDescent="0.25">
      <c r="A1004" s="29"/>
      <c r="H1004" s="30"/>
    </row>
    <row r="1005" spans="1:8" ht="12.5" x14ac:dyDescent="0.25">
      <c r="A1005" s="29"/>
      <c r="H1005" s="30"/>
    </row>
    <row r="1006" spans="1:8" ht="12.5" x14ac:dyDescent="0.25">
      <c r="A1006" s="29"/>
      <c r="H1006" s="30"/>
    </row>
    <row r="1007" spans="1:8" ht="12.5" x14ac:dyDescent="0.25">
      <c r="A1007" s="29"/>
      <c r="H1007" s="30"/>
    </row>
    <row r="1008" spans="1:8" ht="12.5" x14ac:dyDescent="0.25">
      <c r="A1008" s="29"/>
      <c r="H1008" s="30"/>
    </row>
    <row r="1009" spans="1:8" ht="12.5" x14ac:dyDescent="0.25">
      <c r="A1009" s="29"/>
      <c r="H1009" s="30"/>
    </row>
    <row r="1010" spans="1:8" ht="12.5" x14ac:dyDescent="0.25">
      <c r="A1010" s="29"/>
      <c r="H1010" s="30"/>
    </row>
    <row r="1011" spans="1:8" ht="12.5" x14ac:dyDescent="0.25">
      <c r="A1011" s="29"/>
      <c r="H1011" s="30"/>
    </row>
    <row r="1012" spans="1:8" ht="12.5" x14ac:dyDescent="0.25">
      <c r="A1012" s="29"/>
      <c r="H1012" s="30"/>
    </row>
    <row r="1013" spans="1:8" ht="12.5" x14ac:dyDescent="0.25">
      <c r="A1013" s="29"/>
      <c r="H1013" s="30"/>
    </row>
    <row r="1014" spans="1:8" ht="12.5" x14ac:dyDescent="0.25">
      <c r="A1014" s="29"/>
      <c r="H1014" s="30"/>
    </row>
    <row r="1015" spans="1:8" ht="12.5" x14ac:dyDescent="0.25">
      <c r="A1015" s="29"/>
      <c r="H1015" s="30"/>
    </row>
    <row r="1016" spans="1:8" ht="12.5" x14ac:dyDescent="0.25">
      <c r="A1016" s="29"/>
      <c r="H1016" s="30"/>
    </row>
    <row r="1017" spans="1:8" ht="12.5" x14ac:dyDescent="0.25">
      <c r="A1017" s="29"/>
      <c r="H1017" s="30"/>
    </row>
    <row r="1018" spans="1:8" ht="12.5" x14ac:dyDescent="0.25">
      <c r="A1018" s="29"/>
      <c r="H1018" s="30"/>
    </row>
    <row r="1019" spans="1:8" ht="12.5" x14ac:dyDescent="0.25">
      <c r="A1019" s="29"/>
      <c r="H1019" s="30"/>
    </row>
    <row r="1020" spans="1:8" ht="12.5" x14ac:dyDescent="0.25">
      <c r="A1020" s="29"/>
      <c r="H1020" s="30"/>
    </row>
    <row r="1021" spans="1:8" ht="12.5" x14ac:dyDescent="0.25">
      <c r="A1021" s="29"/>
      <c r="H1021" s="30"/>
    </row>
    <row r="1022" spans="1:8" ht="12.5" x14ac:dyDescent="0.25">
      <c r="A1022" s="29"/>
      <c r="H1022" s="30"/>
    </row>
    <row r="1023" spans="1:8" ht="12.5" x14ac:dyDescent="0.25">
      <c r="A1023" s="29"/>
      <c r="H1023" s="30"/>
    </row>
    <row r="1024" spans="1:8" ht="12.5" x14ac:dyDescent="0.25">
      <c r="A1024" s="29"/>
      <c r="H1024" s="30"/>
    </row>
    <row r="1025" spans="1:8" ht="12.5" x14ac:dyDescent="0.25">
      <c r="A1025" s="29"/>
      <c r="H1025" s="30"/>
    </row>
    <row r="1026" spans="1:8" ht="12.5" x14ac:dyDescent="0.25">
      <c r="A1026" s="29"/>
      <c r="H1026" s="30"/>
    </row>
    <row r="1027" spans="1:8" ht="12.5" x14ac:dyDescent="0.25">
      <c r="A1027" s="29"/>
      <c r="H1027" s="30"/>
    </row>
    <row r="1028" spans="1:8" ht="12.5" x14ac:dyDescent="0.25">
      <c r="A1028" s="29"/>
      <c r="H1028" s="30"/>
    </row>
    <row r="1029" spans="1:8" ht="12.5" x14ac:dyDescent="0.25">
      <c r="A1029" s="29"/>
      <c r="H1029" s="30"/>
    </row>
    <row r="1030" spans="1:8" ht="12.5" x14ac:dyDescent="0.25">
      <c r="A1030" s="29"/>
      <c r="H1030" s="30"/>
    </row>
    <row r="1031" spans="1:8" ht="12.5" x14ac:dyDescent="0.25">
      <c r="A1031" s="29"/>
      <c r="H1031" s="30"/>
    </row>
    <row r="1032" spans="1:8" ht="12.5" x14ac:dyDescent="0.25">
      <c r="A1032" s="29"/>
      <c r="H1032" s="30"/>
    </row>
    <row r="1033" spans="1:8" ht="12.5" x14ac:dyDescent="0.25">
      <c r="A1033" s="29"/>
      <c r="H1033" s="30"/>
    </row>
    <row r="1034" spans="1:8" ht="12.5" x14ac:dyDescent="0.25">
      <c r="A1034" s="29"/>
      <c r="H1034" s="30"/>
    </row>
    <row r="1035" spans="1:8" ht="12.5" x14ac:dyDescent="0.25">
      <c r="A1035" s="29"/>
      <c r="H1035" s="30"/>
    </row>
    <row r="1036" spans="1:8" ht="12.5" x14ac:dyDescent="0.25">
      <c r="A1036" s="29"/>
      <c r="H1036" s="30"/>
    </row>
    <row r="1037" spans="1:8" ht="12.5" x14ac:dyDescent="0.25">
      <c r="A1037" s="29"/>
      <c r="H1037" s="30"/>
    </row>
    <row r="1038" spans="1:8" ht="12.5" x14ac:dyDescent="0.25">
      <c r="A1038" s="29"/>
      <c r="H1038" s="30"/>
    </row>
    <row r="1039" spans="1:8" ht="12.5" x14ac:dyDescent="0.25">
      <c r="A1039" s="29"/>
      <c r="H1039" s="30"/>
    </row>
    <row r="1040" spans="1:8" ht="12.5" x14ac:dyDescent="0.25">
      <c r="A1040" s="29"/>
      <c r="H1040" s="30"/>
    </row>
    <row r="1041" spans="1:8" ht="12.5" x14ac:dyDescent="0.25">
      <c r="A1041" s="29"/>
      <c r="H1041" s="30"/>
    </row>
    <row r="1042" spans="1:8" ht="12.5" x14ac:dyDescent="0.25">
      <c r="A1042" s="29"/>
      <c r="H1042" s="30"/>
    </row>
    <row r="1043" spans="1:8" ht="12.5" x14ac:dyDescent="0.25">
      <c r="A1043" s="29"/>
      <c r="H1043" s="30"/>
    </row>
    <row r="1044" spans="1:8" ht="12.5" x14ac:dyDescent="0.25">
      <c r="A1044" s="29"/>
      <c r="H1044" s="30"/>
    </row>
    <row r="1045" spans="1:8" ht="12.5" x14ac:dyDescent="0.25">
      <c r="A1045" s="29"/>
      <c r="H1045" s="30"/>
    </row>
    <row r="1046" spans="1:8" ht="12.5" x14ac:dyDescent="0.25">
      <c r="A1046" s="29"/>
      <c r="H1046" s="30"/>
    </row>
    <row r="1047" spans="1:8" ht="12.5" x14ac:dyDescent="0.25">
      <c r="A1047" s="29"/>
      <c r="H1047" s="30"/>
    </row>
    <row r="1048" spans="1:8" ht="12.5" x14ac:dyDescent="0.25">
      <c r="A1048" s="29"/>
      <c r="H1048" s="30"/>
    </row>
    <row r="1049" spans="1:8" ht="12.5" x14ac:dyDescent="0.25">
      <c r="A1049" s="29"/>
      <c r="H1049" s="30"/>
    </row>
    <row r="1050" spans="1:8" ht="12.5" x14ac:dyDescent="0.25">
      <c r="A1050" s="29"/>
      <c r="H1050" s="30"/>
    </row>
    <row r="1051" spans="1:8" ht="12.5" x14ac:dyDescent="0.25">
      <c r="A1051" s="29"/>
      <c r="H1051" s="30"/>
    </row>
    <row r="1052" spans="1:8" ht="12.5" x14ac:dyDescent="0.25">
      <c r="A1052" s="29"/>
      <c r="H1052" s="30"/>
    </row>
    <row r="1053" spans="1:8" ht="12.5" x14ac:dyDescent="0.25">
      <c r="A1053" s="29"/>
      <c r="H1053" s="30"/>
    </row>
    <row r="1054" spans="1:8" ht="12.5" x14ac:dyDescent="0.25">
      <c r="A1054" s="29"/>
      <c r="H1054" s="30"/>
    </row>
    <row r="1055" spans="1:8" ht="12.5" x14ac:dyDescent="0.25">
      <c r="A1055" s="29"/>
      <c r="H1055" s="30"/>
    </row>
    <row r="1056" spans="1:8" ht="12.5" x14ac:dyDescent="0.25">
      <c r="A1056" s="29"/>
      <c r="H1056" s="30"/>
    </row>
    <row r="1057" spans="1:8" ht="12.5" x14ac:dyDescent="0.25">
      <c r="A1057" s="29"/>
      <c r="H1057" s="30"/>
    </row>
    <row r="1058" spans="1:8" ht="12.5" x14ac:dyDescent="0.25">
      <c r="A1058" s="29"/>
      <c r="H1058" s="30"/>
    </row>
    <row r="1059" spans="1:8" ht="12.5" x14ac:dyDescent="0.25">
      <c r="A1059" s="29"/>
      <c r="H1059" s="30"/>
    </row>
    <row r="1060" spans="1:8" ht="12.5" x14ac:dyDescent="0.25">
      <c r="A1060" s="29"/>
      <c r="H1060" s="30"/>
    </row>
    <row r="1061" spans="1:8" ht="12.5" x14ac:dyDescent="0.25">
      <c r="A1061" s="29"/>
      <c r="H1061" s="30"/>
    </row>
  </sheetData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Hilmy</cp:lastModifiedBy>
  <dcterms:modified xsi:type="dcterms:W3CDTF">2026-09-28T17:29:27Z</dcterms:modified>
</cp:coreProperties>
</file>